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drawings/drawing2.xml" ContentType="application/vnd.openxmlformats-officedocument.drawing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47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Willy\UniversidadGalileo\PrepPrivados\SysDoc\maru-crm\DocProyecto\"/>
    </mc:Choice>
  </mc:AlternateContent>
  <xr:revisionPtr revIDLastSave="0" documentId="13_ncr:1_{B677A45B-5E07-4AD5-BB45-3021C1191023}" xr6:coauthVersionLast="47" xr6:coauthVersionMax="47" xr10:uidLastSave="{00000000-0000-0000-0000-000000000000}"/>
  <bookViews>
    <workbookView xWindow="-108" yWindow="-108" windowWidth="23256" windowHeight="12456" activeTab="10" xr2:uid="{00000000-000D-0000-FFFF-FFFF00000000}"/>
  </bookViews>
  <sheets>
    <sheet name="Hoja1" sheetId="1" r:id="rId1"/>
    <sheet name="Hoja2" sheetId="2" r:id="rId2"/>
    <sheet name="Hoja3" sheetId="3" r:id="rId3"/>
    <sheet name="Hoja4" sheetId="4" r:id="rId4"/>
    <sheet name="Hoja5" sheetId="5" r:id="rId5"/>
    <sheet name="Hoja6" sheetId="6" r:id="rId6"/>
    <sheet name="Hoja7" sheetId="7" r:id="rId7"/>
    <sheet name="Hoja8" sheetId="8" r:id="rId8"/>
    <sheet name="Hoja9" sheetId="9" r:id="rId9"/>
    <sheet name="Hoja10" sheetId="10" r:id="rId10"/>
    <sheet name="Hoja11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1" l="1"/>
  <c r="D87" i="9"/>
</calcChain>
</file>

<file path=xl/sharedStrings.xml><?xml version="1.0" encoding="utf-8"?>
<sst xmlns="http://schemas.openxmlformats.org/spreadsheetml/2006/main" count="2941" uniqueCount="1708">
  <si>
    <t>ACTIVIDAD</t>
  </si>
  <si>
    <t>Análisis Requisitos</t>
  </si>
  <si>
    <t>R</t>
  </si>
  <si>
    <t>C</t>
  </si>
  <si>
    <t>I</t>
  </si>
  <si>
    <t>Diseño del Sistema</t>
  </si>
  <si>
    <t>A</t>
  </si>
  <si>
    <t>Desarrollo Software</t>
  </si>
  <si>
    <t>Pruebas del Sistema</t>
  </si>
  <si>
    <t>Documentación Técnica</t>
  </si>
  <si>
    <t>Validación Usuario</t>
  </si>
  <si>
    <t>Presentación Final</t>
  </si>
  <si>
    <t>Capacitación Usuario</t>
  </si>
  <si>
    <t>Soporte Post-Entrega</t>
  </si>
  <si>
    <t>Control Calidad</t>
  </si>
  <si>
    <t>Evaluación Final</t>
  </si>
  <si>
    <t>Estudiantes</t>
  </si>
  <si>
    <t>Director de Escuela</t>
  </si>
  <si>
    <t>Asesor de Tesis</t>
  </si>
  <si>
    <t>Usuario</t>
  </si>
  <si>
    <t>Implementación</t>
  </si>
  <si>
    <t>Alto poder</t>
  </si>
  <si>
    <t>Bajo poder</t>
  </si>
  <si>
    <t>Bajo Interes</t>
  </si>
  <si>
    <t>Alto Interes</t>
  </si>
  <si>
    <t>MAPA DE PODER</t>
  </si>
  <si>
    <t>Asesor Tesis</t>
  </si>
  <si>
    <t>Usuario Final</t>
  </si>
  <si>
    <t>Código</t>
  </si>
  <si>
    <t>HU-001</t>
  </si>
  <si>
    <t>Nombre</t>
  </si>
  <si>
    <t>Registro de Inmuebles</t>
  </si>
  <si>
    <t>Como</t>
  </si>
  <si>
    <t>agente inmobiliario</t>
  </si>
  <si>
    <t>Quiero</t>
  </si>
  <si>
    <t>registrar nuevos inmuebles en el sistema</t>
  </si>
  <si>
    <t>Para</t>
  </si>
  <si>
    <t>mantener un inventario actualizado de propiedades disponibles</t>
  </si>
  <si>
    <t>Criterios de Aceptación</t>
  </si>
  <si>
    <t>Criterio 1</t>
  </si>
  <si>
    <t>Debo poder ingresar información básica (tipo, dirección, precio, área)</t>
  </si>
  <si>
    <t>Criterio 2</t>
  </si>
  <si>
    <t>El sistema debe validar campos obligatorios</t>
  </si>
  <si>
    <t>Criterio 3</t>
  </si>
  <si>
    <t>Se debe generar un código único automáticamente</t>
  </si>
  <si>
    <t>Criterio 4</t>
  </si>
  <si>
    <t>Confirmación de guardado exitoso</t>
  </si>
  <si>
    <t>HU-002</t>
  </si>
  <si>
    <t>Galería Fotográfica</t>
  </si>
  <si>
    <t>subir y gestionar fotografías de los inmuebles</t>
  </si>
  <si>
    <t>mostrar visualmente las propiedades a los clientes</t>
  </si>
  <si>
    <t>Subir múltiples imágenes (máximo 20 por propiedad)</t>
  </si>
  <si>
    <t>Definir foto principal</t>
  </si>
  <si>
    <t>Agregar descripción a cada imagen</t>
  </si>
  <si>
    <t>Previsualizar antes de guardar</t>
  </si>
  <si>
    <t>HU-003</t>
  </si>
  <si>
    <t>Historial de Precios y Modificaciones</t>
  </si>
  <si>
    <t>llevar un registro de cambios de precios y modificaciones</t>
  </si>
  <si>
    <t>tener trazabilidad y análisis histórico de cada propiedad</t>
  </si>
  <si>
    <t>Registrar automáticamente cada cambio de precio</t>
  </si>
  <si>
    <t>Mostrar fecha, usuario y motivo del cambio</t>
  </si>
  <si>
    <t>Visualizar gráfico de evolución de precios</t>
  </si>
  <si>
    <t>Exportar historial en formato PDF</t>
  </si>
  <si>
    <t>HU-004</t>
  </si>
  <si>
    <t>Registro de Venta de Propiedad</t>
  </si>
  <si>
    <t>registrar la venta exitosa de una propiedad</t>
  </si>
  <si>
    <t>actualizar el inventario y calcular comisiones</t>
  </si>
  <si>
    <t>Marcar propiedad como "Vendida"</t>
  </si>
  <si>
    <t>Registrar precio final de venta</t>
  </si>
  <si>
    <t>Capturar datos del comprador</t>
  </si>
  <si>
    <t>Calcular comisión automáticamente</t>
  </si>
  <si>
    <t>HU-005</t>
  </si>
  <si>
    <t>Registro de Renta de Propiedad</t>
  </si>
  <si>
    <t>registrar el alquiler de una propiedad</t>
  </si>
  <si>
    <t>gestionar contratos de renta y pagos mensuales</t>
  </si>
  <si>
    <t>Marcar propiedad como "Rentada"</t>
  </si>
  <si>
    <t>Definir precio mensual y duración del contrato</t>
  </si>
  <si>
    <t>Registrar datos del inquilino</t>
  </si>
  <si>
    <t>Programar recordatorios de pago</t>
  </si>
  <si>
    <t>HU-006</t>
  </si>
  <si>
    <t>Geolocalización y Mapas</t>
  </si>
  <si>
    <t>visualizar la ubicación de las propiedades en mapas</t>
  </si>
  <si>
    <t>mejor orientación geográfica y análisis de ubicaciones</t>
  </si>
  <si>
    <t>Mostrar propiedades en mapa interactivo</t>
  </si>
  <si>
    <t>Filtrar por zona geográfica</t>
  </si>
  <si>
    <t>Calcular distancias a puntos de interés</t>
  </si>
  <si>
    <t>Integración con Google Maps o similar</t>
  </si>
  <si>
    <t>HU-007</t>
  </si>
  <si>
    <t>CRUD de Clientes</t>
  </si>
  <si>
    <t>crear, leer, actualizar y eliminar información de clientes</t>
  </si>
  <si>
    <t>mantener una base de datos completa y actualizada</t>
  </si>
  <si>
    <t>Formulario completo de registro de cliente</t>
  </si>
  <si>
    <t>Búsqueda y filtrado de clientes</t>
  </si>
  <si>
    <t>Edición de información existente</t>
  </si>
  <si>
    <t>Eliminación lógica (no física) de registros</t>
  </si>
  <si>
    <t>HU-008</t>
  </si>
  <si>
    <t>Base de Datos de Compradores/Inquilinos</t>
  </si>
  <si>
    <t>categorizar clientes por tipo de interés</t>
  </si>
  <si>
    <t>segmentar y ofrecer propiedades relevantes</t>
  </si>
  <si>
    <t>Clasificar cliente como "Comprador" o "Inquilino"</t>
  </si>
  <si>
    <t>Registrar presupuesto disponible</t>
  </si>
  <si>
    <t>Filtrar propiedades según tipo de cliente</t>
  </si>
  <si>
    <t>Historial de propiedades mostradas</t>
  </si>
  <si>
    <t>HU-009</t>
  </si>
  <si>
    <t>Perfil de Preferencias y Presupuesto</t>
  </si>
  <si>
    <t>registrar preferencias específicas de cada cliente</t>
  </si>
  <si>
    <t>hacer recomendaciones personalizadas</t>
  </si>
  <si>
    <t>Capturar preferencias de ubicación</t>
  </si>
  <si>
    <t>Registrar rango de precios</t>
  </si>
  <si>
    <t>Definir características deseadas</t>
  </si>
  <si>
    <t>Match automático con propiedades disponibles</t>
  </si>
  <si>
    <t>HU-010</t>
  </si>
  <si>
    <t>Calendario Integrado</t>
  </si>
  <si>
    <t>tener un calendario digital integrado</t>
  </si>
  <si>
    <t>gestionar mi agenda de forma eficiente</t>
  </si>
  <si>
    <t>Vista diaria, semanal y mensual</t>
  </si>
  <si>
    <t>Sincronización con Google Calendar</t>
  </si>
  <si>
    <t>Recordatorios automáticos</t>
  </si>
  <si>
    <t>Eventos no relacionados con propiedades</t>
  </si>
  <si>
    <t>HU-011</t>
  </si>
  <si>
    <t>Programación de Visitas</t>
  </si>
  <si>
    <t>agendar visitas a propiedades con clientes</t>
  </si>
  <si>
    <t>organizar mi tiempo y el de los clientes</t>
  </si>
  <si>
    <t>Seleccionar propiedad y cliente</t>
  </si>
  <si>
    <t>Definir fecha, hora y duración</t>
  </si>
  <si>
    <t>Enviar confirmación automática al cliente</t>
  </si>
  <si>
    <t>Verificar disponibilidad antes de agendar</t>
  </si>
  <si>
    <t>HU-012</t>
  </si>
  <si>
    <t>Registro de Feedback Post-Visita</t>
  </si>
  <si>
    <t>documentar la opinión del cliente después de cada visita</t>
  </si>
  <si>
    <t>mejorar el servicio y hacer seguimiento</t>
  </si>
  <si>
    <t>Formulario de evaluación post-visita</t>
  </si>
  <si>
    <t>Escala de interés del cliente</t>
  </si>
  <si>
    <t>Comentarios y observaciones</t>
  </si>
  <si>
    <t>Acciones de seguimiento recomendadas</t>
  </si>
  <si>
    <t>HU-013</t>
  </si>
  <si>
    <t>Métricas de Performance</t>
  </si>
  <si>
    <t>gerente de inmobiliaria</t>
  </si>
  <si>
    <t>visualizar métricas clave de performance</t>
  </si>
  <si>
    <t>evaluar el rendimiento del negocio</t>
  </si>
  <si>
    <t>KPIs principales en tiempo real</t>
  </si>
  <si>
    <t>Gráficos de tendencias</t>
  </si>
  <si>
    <t>Comparativas mes a mes</t>
  </si>
  <si>
    <t>Metas vs. resultados</t>
  </si>
  <si>
    <t>HU-014</t>
  </si>
  <si>
    <t>Reportes de Ventas/Rentas</t>
  </si>
  <si>
    <t>generar reportes detallados de ventas y rentas</t>
  </si>
  <si>
    <t>análisis financiero y toma de decisiones</t>
  </si>
  <si>
    <t>Filtros por período de tiempo</t>
  </si>
  <si>
    <t>Reportes por agente inmobiliario</t>
  </si>
  <si>
    <t>Exportación a Excel/PDF</t>
  </si>
  <si>
    <t>Gráficos de ingresos mensuales</t>
  </si>
  <si>
    <t>HU-015</t>
  </si>
  <si>
    <t>Análisis de Mercado Básico</t>
  </si>
  <si>
    <t>analizar tendencias del mercado inmobiliario</t>
  </si>
  <si>
    <t>ajustar estrategias comerciales</t>
  </si>
  <si>
    <t>Precios promedio por zona</t>
  </si>
  <si>
    <t>Tiempo promedio de venta/renta</t>
  </si>
  <si>
    <t>Propiedades más demandadas</t>
  </si>
  <si>
    <t>Comparativo con meses anteriores</t>
  </si>
  <si>
    <t>HU-016</t>
  </si>
  <si>
    <t>KPIs del Negocio</t>
  </si>
  <si>
    <t>monitorear indicadores clave del negocio</t>
  </si>
  <si>
    <t>medir el éxito y detectar áreas de mejora</t>
  </si>
  <si>
    <t>Número de propiedades activas</t>
  </si>
  <si>
    <t>Tasa de conversión de visitas</t>
  </si>
  <si>
    <t>Tiempo promedio de cierre</t>
  </si>
  <si>
    <t>Satisfacción del cliente</t>
  </si>
  <si>
    <t>HU-017</t>
  </si>
  <si>
    <t>Envío de Emails Automatizados</t>
  </si>
  <si>
    <t>enviar emails automáticos a clientes</t>
  </si>
  <si>
    <t>mantener comunicación constante sin esfuerzo manual</t>
  </si>
  <si>
    <t>Plantillas de email predefinidas</t>
  </si>
  <si>
    <t>Envío automático por eventos (nueva propiedad, cita agendada)</t>
  </si>
  <si>
    <t>Personalización con datos del cliente</t>
  </si>
  <si>
    <t>Historial de emails enviados</t>
  </si>
  <si>
    <t>HU-018</t>
  </si>
  <si>
    <t>Notificaciones Internas</t>
  </si>
  <si>
    <t>usuario del sistema</t>
  </si>
  <si>
    <t>recibir notificaciones internas relevantes</t>
  </si>
  <si>
    <t>estar informado de eventos importantes</t>
  </si>
  <si>
    <t>Alertas de citas próximas</t>
  </si>
  <si>
    <t>Notificación de nuevos clientes</t>
  </si>
  <si>
    <t>Avisos de propiedades sin actividad</t>
  </si>
  <si>
    <t>Centro de notificaciones en el sistema</t>
  </si>
  <si>
    <t>HU-019</t>
  </si>
  <si>
    <t>Envío de Notificaciones a Clientes</t>
  </si>
  <si>
    <t>enviar notificaciones push a clientes</t>
  </si>
  <si>
    <t>mantenerlos informados de novedades</t>
  </si>
  <si>
    <t>Notificación de nuevas propiedades que coincidan con perfil</t>
  </si>
  <si>
    <t>Recordatorios de citas programadas</t>
  </si>
  <si>
    <t>Seguimiento post-visita</t>
  </si>
  <si>
    <t>Configuración de frecuencia por cliente</t>
  </si>
  <si>
    <t>HU-020</t>
  </si>
  <si>
    <t>Creación de Usuarios</t>
  </si>
  <si>
    <t>administrador del sistema</t>
  </si>
  <si>
    <t>crear cuentas de usuario para el personal</t>
  </si>
  <si>
    <t>controlar el acceso al sistema</t>
  </si>
  <si>
    <t>Formulario de registro de usuario</t>
  </si>
  <si>
    <t>Validación de email único</t>
  </si>
  <si>
    <t>Contraseña con políticas de seguridad</t>
  </si>
  <si>
    <t>Activación de cuenta por email</t>
  </si>
  <si>
    <t>HU-021</t>
  </si>
  <si>
    <t>Creación y Asignación de Roles</t>
  </si>
  <si>
    <t>definir roles y permisos específicos</t>
  </si>
  <si>
    <t>delimitar funcionalidades según el cargo</t>
  </si>
  <si>
    <t>Crear roles personalizados</t>
  </si>
  <si>
    <t>Asignar permisos granulares</t>
  </si>
  <si>
    <t>Modificar roles existentes</t>
  </si>
  <si>
    <t>Historial de cambios de roles</t>
  </si>
  <si>
    <t>HU-022</t>
  </si>
  <si>
    <t>Delimitación de Funcionalidades por Rol</t>
  </si>
  <si>
    <t>restringir acceso a funcionalidades según el rol</t>
  </si>
  <si>
    <t>mantener seguridad y control operativo</t>
  </si>
  <si>
    <t>Menú dinámico según permisos</t>
  </si>
  <si>
    <t>Validación de acceso en backend</t>
  </si>
  <si>
    <t>Mensajes de error por falta de permisos</t>
  </si>
  <si>
    <t>Audit trail de intentos de acceso</t>
  </si>
  <si>
    <t>HU-023</t>
  </si>
  <si>
    <t>Integración con WhatsApp</t>
  </si>
  <si>
    <t>integrar comunicación con WhatsApp</t>
  </si>
  <si>
    <t>facilitar contacto directo con clientes</t>
  </si>
  <si>
    <t>Envío de mensajes desde el sistema</t>
  </si>
  <si>
    <t>Plantillas de mensaje predefinidas</t>
  </si>
  <si>
    <t>Historial de conversaciones</t>
  </si>
  <si>
    <t>Números verificados de clientes</t>
  </si>
  <si>
    <t>HU-024</t>
  </si>
  <si>
    <t>Integración con Facebook</t>
  </si>
  <si>
    <t>gerente de marketing</t>
  </si>
  <si>
    <t>publicar automáticamente propiedades en Facebook</t>
  </si>
  <si>
    <t>ampliar el alcance y generar más leads</t>
  </si>
  <si>
    <t>Publicación automática de nuevas propiedades</t>
  </si>
  <si>
    <t>Plantillas de post personalizables</t>
  </si>
  <si>
    <t>Programación de publicaciones</t>
  </si>
  <si>
    <t>Métricas de engagement desde Facebook</t>
  </si>
  <si>
    <t xml:space="preserve">Precondiciones </t>
  </si>
  <si>
    <t xml:space="preserve">Flujo Normal   </t>
  </si>
  <si>
    <t xml:space="preserve">Flujos Alternativos </t>
  </si>
  <si>
    <t xml:space="preserve">Flujos de Excepción </t>
  </si>
  <si>
    <t xml:space="preserve">Postcondiciones     </t>
  </si>
  <si>
    <t>Requisitos Especiales    </t>
  </si>
  <si>
    <t>Flujo Normal - Crear Cliente  </t>
  </si>
  <si>
    <t xml:space="preserve">Flujo Normal - Buscar Cliente </t>
  </si>
  <si>
    <t>Flujo Normal - Actualizar Cliente  </t>
  </si>
  <si>
    <t>Flujo Normal - Eliminar Cliente    </t>
  </si>
  <si>
    <t>ID</t>
  </si>
  <si>
    <t>Actor Principal</t>
  </si>
  <si>
    <t>Descripción</t>
  </si>
  <si>
    <t>Paso 1</t>
  </si>
  <si>
    <t>Paso 2</t>
  </si>
  <si>
    <t>Paso 3</t>
  </si>
  <si>
    <t>Paso 4</t>
  </si>
  <si>
    <t>Paso 5</t>
  </si>
  <si>
    <t>Paso 6</t>
  </si>
  <si>
    <t>Paso 7</t>
  </si>
  <si>
    <t>Paso 8</t>
  </si>
  <si>
    <t>Paso 9</t>
  </si>
  <si>
    <t>FAL-1</t>
  </si>
  <si>
    <t>FAL-2</t>
  </si>
  <si>
    <t>FEX-1</t>
  </si>
  <si>
    <t>FEX-2</t>
  </si>
  <si>
    <t>Postcondición 1</t>
  </si>
  <si>
    <t>Postcondición 2</t>
  </si>
  <si>
    <t>Postcondición 3</t>
  </si>
  <si>
    <t>Postcondición 4</t>
  </si>
  <si>
    <t>Postcondición 5</t>
  </si>
  <si>
    <t>Requisito 1</t>
  </si>
  <si>
    <t>Requisito 2</t>
  </si>
  <si>
    <t>Requisito 3</t>
  </si>
  <si>
    <t>Paso 10</t>
  </si>
  <si>
    <t>El sistema registra la cita en el calendario</t>
  </si>
  <si>
    <t>Paso 11</t>
  </si>
  <si>
    <t>Paso 12</t>
  </si>
  <si>
    <t>El sistema programa recordatorio automático</t>
  </si>
  <si>
    <t>El sistema actualiza las métricas y reportes automáticamente</t>
  </si>
  <si>
    <t>El sistema muestra resumen de la transacción completada</t>
  </si>
  <si>
    <t>Postcondición 6</t>
  </si>
  <si>
    <t>El sistema genera archivo y lo descarga automáticamente</t>
  </si>
  <si>
    <t>El sistema envía email de activación con credenciales temporales</t>
  </si>
  <si>
    <t>El sistema muestra confirmación de usuario creado exitosamente</t>
  </si>
  <si>
    <t>Registrar Inmuebles</t>
  </si>
  <si>
    <t>Agente Inmobiliario</t>
  </si>
  <si>
    <t>Tipo</t>
  </si>
  <si>
    <t>Primario, Esencial</t>
  </si>
  <si>
    <t>Permite al agente inmobiliario registrar nuevos inmuebles en el sistema, capturando toda la información básica necesaria para la gestión y comercialización de propiedades</t>
  </si>
  <si>
    <t>Precondición 1</t>
  </si>
  <si>
    <t>El agente inmobiliario debe estar autenticado en el sistema</t>
  </si>
  <si>
    <t>Precondición 2</t>
  </si>
  <si>
    <t>El agente debe tener permisos de "Gestión de Propiedades"</t>
  </si>
  <si>
    <t>Precondición 3</t>
  </si>
  <si>
    <t>El agente accede al módulo "Gestión de Propiedades"</t>
  </si>
  <si>
    <t>El agente selecciona "Nuevo Inmueble"</t>
  </si>
  <si>
    <t>El sistema muestra el formulario de registro</t>
  </si>
  <si>
    <t>El agente ingresa la información básica (tipo, dirección, precio, área, habitaciones, baños, descripción)</t>
  </si>
  <si>
    <t>El sistema valida los campos obligatorios</t>
  </si>
  <si>
    <t>El agente confirma el guardado</t>
  </si>
  <si>
    <t>El sistema genera código único automáticamente</t>
  </si>
  <si>
    <t>El sistema almacena el inmueble en la base de datos</t>
  </si>
  <si>
    <t>El sistema muestra mensaje de confirmación de guardado exitoso</t>
  </si>
  <si>
    <t>Permite al agente inmobiliario crear, leer, actualizar y eliminar información de clientes para mantener una base de datos completa y actualizada</t>
  </si>
  <si>
    <t>El agente inmobiliario debe estar autenticado</t>
  </si>
  <si>
    <t>El agente debe tener permisos de "Gestión de Clientes"</t>
  </si>
  <si>
    <t>El agente accede al módulo "Gestión de Clientes"</t>
  </si>
  <si>
    <t>El agente selecciona "Nuevo Cliente"</t>
  </si>
  <si>
    <t>El sistema muestra formulario de registro</t>
  </si>
  <si>
    <t>El agente ingresa información personal (nombres, DPI, teléfonos, email, dirección, tipo de interés)</t>
  </si>
  <si>
    <t>El sistema valida formato de email y unicidad de DPI</t>
  </si>
  <si>
    <t>El agente guarda la información</t>
  </si>
  <si>
    <t>El sistema asigna ID único al cliente</t>
  </si>
  <si>
    <t>El sistema confirma la creación exitosa</t>
  </si>
  <si>
    <t>El agente accede a "Buscar Clientes"</t>
  </si>
  <si>
    <t>El agente ingresa criterios de búsqueda (nombre, DPI, teléfono, email)</t>
  </si>
  <si>
    <t>El sistema muestra resultados coincidentes</t>
  </si>
  <si>
    <t>El agente selecciona cliente deseado</t>
  </si>
  <si>
    <t>El sistema muestra información completa del cliente</t>
  </si>
  <si>
    <t>El agente busca el cliente (según flujo anterior)</t>
  </si>
  <si>
    <t>El agente selecciona "Editar"</t>
  </si>
  <si>
    <t>El sistema muestra formulario con datos actuales</t>
  </si>
  <si>
    <t>El agente modifica los campos necesarios</t>
  </si>
  <si>
    <t>El agente guarda cambios</t>
  </si>
  <si>
    <t>El sistema valida la información actualizada</t>
  </si>
  <si>
    <t>El sistema confirma la actualización exitosa</t>
  </si>
  <si>
    <t>El agente busca el cliente</t>
  </si>
  <si>
    <t>El agente selecciona "Eliminar"</t>
  </si>
  <si>
    <t>El sistema solicita confirmación</t>
  </si>
  <si>
    <t>El agente confirma la eliminación</t>
  </si>
  <si>
    <t>El sistema realiza eliminación lógica (no física)</t>
  </si>
  <si>
    <t>El cliente queda marcado como inactivo</t>
  </si>
  <si>
    <t>Permite al agente inmobiliario agendar visitas a propiedades con clientes para organizar eficientemente el tiempo y optimizar las oportunidades de venta/renta</t>
  </si>
  <si>
    <t>El agente debe estar autenticado</t>
  </si>
  <si>
    <t>Debe existir al menos una propiedad registrada</t>
  </si>
  <si>
    <t>Debe existir al menos un cliente registrado</t>
  </si>
  <si>
    <t>Precondición 4</t>
  </si>
  <si>
    <t>La propiedad debe estar disponible (no vendida/rentada)</t>
  </si>
  <si>
    <t>El agente accede al módulo "Gestión de Visitas"</t>
  </si>
  <si>
    <t>El agente selecciona "Nueva Visita"</t>
  </si>
  <si>
    <t>El sistema muestra formulario de agendamiento</t>
  </si>
  <si>
    <t>El agente selecciona la propiedad desde lista desplegable</t>
  </si>
  <si>
    <t>El agente selecciona el cliente desde lista de clientes</t>
  </si>
  <si>
    <t>El agente especifica fecha, hora de inicio, duración estimada, notas especiales</t>
  </si>
  <si>
    <t>El sistema verifica disponibilidad del agente en esa fecha/hora</t>
  </si>
  <si>
    <t>El sistema valida que la fecha sea futura</t>
  </si>
  <si>
    <t>El agente confirma la programación</t>
  </si>
  <si>
    <t>Registrar Venta de Propiedad</t>
  </si>
  <si>
    <t>Primario, Crítico para el Negocio</t>
  </si>
  <si>
    <t>Permite registrar la venta exitosa de una propiedad, actualizando automáticamente el inventario, calculando comisiones y registrando toda la información transaccional</t>
  </si>
  <si>
    <t>La propiedad debe estar registrada en el sistema</t>
  </si>
  <si>
    <t>La propiedad debe tener estatus "Disponible"</t>
  </si>
  <si>
    <t>El comprador debe estar registrado como cliente</t>
  </si>
  <si>
    <t>El agente debe tener permisos de "Gestión de Ventas"</t>
  </si>
  <si>
    <t>El agente accede a "Registrar Venta"</t>
  </si>
  <si>
    <t>El agente busca y selecciona la propiedad vendida</t>
  </si>
  <si>
    <t>El sistema muestra información de la propiedad</t>
  </si>
  <si>
    <t>El agente ingresa datos de la transacción (precio final, comprador, fecha, método de pago, observaciones)</t>
  </si>
  <si>
    <t>El sistema valida que el precio final sea lógico (±30% del precio original)</t>
  </si>
  <si>
    <t>El agente confirma la venta</t>
  </si>
  <si>
    <t>El sistema marca la propiedad como "Vendida"</t>
  </si>
  <si>
    <t>El sistema calcula automáticamente la comisión del agente (% configurado)</t>
  </si>
  <si>
    <t>El sistema registra la transacción en el historial</t>
  </si>
  <si>
    <t>Gerente de Inmobiliaria</t>
  </si>
  <si>
    <t>Secundario, Importante para Gestión</t>
  </si>
  <si>
    <t>Permite al gerente generar reportes detallados de ventas y rentas para análisis financiero, evaluación de desempeño y toma de decisiones estratégicas</t>
  </si>
  <si>
    <t>El gerente debe estar autenticado</t>
  </si>
  <si>
    <t>Debe tener permisos de "Gestión de Reportes"</t>
  </si>
  <si>
    <t>Debe existir información de transacciones en el sistema</t>
  </si>
  <si>
    <t>El gerente accede al módulo "Dashboard y Reportes"</t>
  </si>
  <si>
    <t>El gerente selecciona "Generar Reporte"</t>
  </si>
  <si>
    <t>El sistema muestra opciones de filtrado (período, tipo, agente, propiedad, precios)</t>
  </si>
  <si>
    <t>El gerente configura los filtros deseados</t>
  </si>
  <si>
    <t>El gerente selecciona formato de exportación (Excel, PDF)</t>
  </si>
  <si>
    <t>El sistema procesa la consulta a la base de datos</t>
  </si>
  <si>
    <t>El sistema genera el reporte con gráficos, tablas, métricas y análisis comparativo</t>
  </si>
  <si>
    <t>El sistema muestra vista previa del reporte</t>
  </si>
  <si>
    <t>El gerente confirma la generación</t>
  </si>
  <si>
    <t>Administrador del Sistema</t>
  </si>
  <si>
    <t>Primario, Crítico para Seguridad</t>
  </si>
  <si>
    <t>Permite al administrador crear nuevas cuentas de usuario para el personal de la inmobiliaria, estableciendo credenciales y permisos apropiados para controlar el acceso al sistema</t>
  </si>
  <si>
    <t>El administrador debe estar autenticado</t>
  </si>
  <si>
    <t>El administrador debe tener permisos de "Administración de Usuarios"</t>
  </si>
  <si>
    <t>El administrador accede al módulo "Seguridad"</t>
  </si>
  <si>
    <t>El administrador selecciona "Crear Usuario"</t>
  </si>
  <si>
    <t>El sistema muestra formulario de creación de usuario</t>
  </si>
  <si>
    <t>El administrador ingresa información requerida (nombre, email, rol, teléfono, fecha de ingreso)</t>
  </si>
  <si>
    <t>El sistema valida la unicidad del email</t>
  </si>
  <si>
    <t>El sistema aplica políticas de seguridad para contraseña temporal</t>
  </si>
  <si>
    <t>El administrador confirma la creación</t>
  </si>
  <si>
    <t>El sistema genera contraseña temporal aleatoria</t>
  </si>
  <si>
    <t>El sistema crea la cuenta de usuario</t>
  </si>
  <si>
    <t>Información Incompleta: Si el agente no completa campos obligatorios en el paso 5, el sistema muestra mensaje de error específico y resalta los campos faltantes</t>
  </si>
  <si>
    <t>Duplicado por Dirección: Si ya existe un inmueble registrado en la misma dirección exacta, el sistema solicita confirmación al agente antes de continuar</t>
  </si>
  <si>
    <t>Error de Base de Datos: Si hay error en el paso 8, el sistema muestra mensaje de error y sugiere intentar más tarde</t>
  </si>
  <si>
    <t>Sesión Expirada: Si la sesión expira durante el proceso, el sistema solicita nueva autenticación</t>
  </si>
  <si>
    <t>El inmueble queda registrado en la base de datos</t>
  </si>
  <si>
    <t>Se genera código único para el inmueble</t>
  </si>
  <si>
    <t>El inmueble aparece en el listado general de propiedades</t>
  </si>
  <si>
    <t>Se registra la fecha y hora de creación</t>
  </si>
  <si>
    <t>Se asocia el inmueble al agente que lo registró</t>
  </si>
  <si>
    <t>DPI Duplicado: Si el DPI ya existe, el sistema muestra error y sugiere verificar datos</t>
  </si>
  <si>
    <t>Cliente con Operaciones Activas: Si el cliente tiene visitas programadas o contratos activos, el sistema no permite eliminación</t>
  </si>
  <si>
    <t>La información del cliente queda almacenada/actualizada</t>
  </si>
  <si>
    <t>Se mantiene historial de modificaciones</t>
  </si>
  <si>
    <t>Los datos están disponibles para otros módulos del sistema</t>
  </si>
  <si>
    <t>Conflicto de Horario: Si hay conflicto en el paso 7, el sistema muestra horarios alternativos disponibles</t>
  </si>
  <si>
    <t>Propiedad No Disponible: Si la propiedad se vendió/rentó después de seleccionarla, el sistema notifica y sugiere propiedades similares</t>
  </si>
  <si>
    <t>Fallo en Envío de Confirmación: Si hay error al enviar confirmación al cliente, el sistema registra la cita pero notifica al agente sobre el fallo de comunicación</t>
  </si>
  <si>
    <t>La visita queda registrada en el sistema</t>
  </si>
  <si>
    <t>El cliente recibe confirmación de la cita</t>
  </si>
  <si>
    <t>Se programan recordatorios automáticos</t>
  </si>
  <si>
    <t>La cita aparece en el calendario del agente</t>
  </si>
  <si>
    <t>Se asocia la visita con la propiedad y cliente correspondientes</t>
  </si>
  <si>
    <t>Las visitas solo pueden programarse en horario laboral (8:00 AM - 6:00 PM)</t>
  </si>
  <si>
    <t>Tiempo mínimo entre visitas: 30 minutos</t>
  </si>
  <si>
    <t>Recordatorio automático 24 horas antes de la cita</t>
  </si>
  <si>
    <t>Precio Fuera de Rango: Si el precio final difiere significativamente del precio original, el sistema solicita justificación del agente</t>
  </si>
  <si>
    <t>Venta Parcial/Financiada: Si la venta incluye financiamiento, el sistema permite registrar detalles del plan de pagos</t>
  </si>
  <si>
    <t>Cliente No Existente: Si el comprador no está registrado, el sistema ofrece crearlo durante el proceso de venta</t>
  </si>
  <si>
    <t>Propiedad Ya Vendida: Si la propiedad ya tiene estatus "Vendida", el sistema muestra error y no permite continuar</t>
  </si>
  <si>
    <t>La propiedad queda marcada como "Vendida" permanentemente</t>
  </si>
  <si>
    <t>Se registra la transacción en el historial financiero</t>
  </si>
  <si>
    <t>Se calcula y registra la comisión del agente</t>
  </si>
  <si>
    <t>Se actualiza el inventario disponible</t>
  </si>
  <si>
    <t>Se generan métricas actualizadas para reportes</t>
  </si>
  <si>
    <t>La propiedad ya no aparece en búsquedas de disponibilidad</t>
  </si>
  <si>
    <t>La venta registrada no puede revertirse sin autorización administrativa</t>
  </si>
  <si>
    <t>Cálculo de comisión debe ser configurable por tipo de propiedad</t>
  </si>
  <si>
    <t>Auditoría completa de la transacción para trazabilidad</t>
  </si>
  <si>
    <t>Sin Datos en Período: Si no hay transacciones en el período seleccionado, el sistema informa y sugiere ampliar el rango de fechas</t>
  </si>
  <si>
    <t>Error de Generación: Si hay error al generar el archivo, el sistema sugiere formato alternativo o reintentar más tarde</t>
  </si>
  <si>
    <t>Timeout de Consulta: Si la consulta tarda demasiado, el sistema cancela y sugiere filtros más específicos</t>
  </si>
  <si>
    <t>Se genera archivo de reporte en formato solicitado</t>
  </si>
  <si>
    <t>Se registra log de generación del reporte</t>
  </si>
  <si>
    <t>El archivo queda disponible para descarga temporal</t>
  </si>
  <si>
    <t>Email Duplicado: Si el email ya existe, el sistema muestra error y sugiere verificar si el usuario ya existe</t>
  </si>
  <si>
    <t>Fallo en Envío de Email: Si hay error al enviar email de activación, el sistema permite al administrador reenviar manualmente</t>
  </si>
  <si>
    <t>Límite de Usuarios Alcanzado: Si se alcanza el límite de la licencia, el sistema informa y no permite crear más usuarios</t>
  </si>
  <si>
    <t>Error del Servidor de Email: Si hay falla en el servidor de email, se crea el usuario pero se notifica que debe comunicar credenciales manualmente</t>
  </si>
  <si>
    <t>El usuario queda creado en el sistema</t>
  </si>
  <si>
    <t>Se asigna rol específico con permisos correspondientes</t>
  </si>
  <si>
    <t>El usuario recibe credenciales temporales para primer acceso</t>
  </si>
  <si>
    <t>Se requiere cambio de contraseña en primer inicio de sesión</t>
  </si>
  <si>
    <t>Email de activación debe expirar en 72 horas</t>
  </si>
  <si>
    <t>Contraseña temporal debe cumplir políticas mínimas de seguridad</t>
  </si>
  <si>
    <t>Primer inicio de sesión debe forzar cambio de contraseña</t>
  </si>
  <si>
    <t>Actores Secundarios</t>
  </si>
  <si>
    <t>HU001</t>
  </si>
  <si>
    <t>HU007</t>
  </si>
  <si>
    <t>HU010</t>
  </si>
  <si>
    <t>HU004</t>
  </si>
  <si>
    <t>HU012</t>
  </si>
  <si>
    <t>HU016</t>
  </si>
  <si>
    <t>El sistema envía confirmación automática al cliente (email)</t>
  </si>
  <si>
    <t>Cliente Sin Contacto Válido: Si el cliente no tiene email, el sistema permite continuar pero sugiere actualizar datos del cliente</t>
  </si>
  <si>
    <t>Reporte Muy Grande: Si el reporte supera límites del sistema, se ofrece generar por segmentos</t>
  </si>
  <si>
    <t>El sistema registra la creación en logs</t>
  </si>
  <si>
    <t>Se registra actividad en logs</t>
  </si>
  <si>
    <t>CATEGORÍA</t>
  </si>
  <si>
    <t>MÉTRICA CUANTIFICABLE</t>
  </si>
  <si>
    <t>VALOR OBJETIVO</t>
  </si>
  <si>
    <t>PRUEBA DE ACEPTACIÓN</t>
  </si>
  <si>
    <t>Performance</t>
  </si>
  <si>
    <t>Tiempo de respuesta promedio</t>
  </si>
  <si>
    <t>≤ 2 segundos</t>
  </si>
  <si>
    <t>Pruebas de carga con JMeter, 100 usuarios concurrentes</t>
  </si>
  <si>
    <t>Throughput del sistema</t>
  </si>
  <si>
    <t>≥ 100 req/segundo</t>
  </si>
  <si>
    <t>Medición durante 1 hora pico de uso</t>
  </si>
  <si>
    <t>Latencia de base de datos</t>
  </si>
  <si>
    <t>≤ 50ms</t>
  </si>
  <si>
    <t>Queries de SELECT/INSERT/UPDATE medidas</t>
  </si>
  <si>
    <t>Carga inicial de página</t>
  </si>
  <si>
    <t>≤ 3 segundos</t>
  </si>
  <si>
    <t>Google PageSpeed Insights ≥ 85/100</t>
  </si>
  <si>
    <t>Seguridad</t>
  </si>
  <si>
    <t>Intentos de login fallidos bloqueados</t>
  </si>
  <si>
    <t>5 intentos = bloqueo 15 min</t>
  </si>
  <si>
    <t>Pruebas de penetración automatizadas</t>
  </si>
  <si>
    <t>Tiempo de expiración de sesión</t>
  </si>
  <si>
    <t>30 minutos inactividad</t>
  </si>
  <si>
    <t>Validación automática de logout</t>
  </si>
  <si>
    <t>Backup exitoso</t>
  </si>
  <si>
    <t>99.9% éxito diario</t>
  </si>
  <si>
    <t>Monitoreo de scripts de respaldo</t>
  </si>
  <si>
    <t>Tiempo de recuperación (RTO)</t>
  </si>
  <si>
    <t>≤ 4 horas</t>
  </si>
  <si>
    <t>Simulacros de disaster recovery</t>
  </si>
  <si>
    <t>Pérdida máxima de datos (RPO)</t>
  </si>
  <si>
    <t>≤ 1 hora</t>
  </si>
  <si>
    <t>Pruebas de restauración de backup</t>
  </si>
  <si>
    <t>Usabilidad</t>
  </si>
  <si>
    <t>Tiempo de aprendizaje</t>
  </si>
  <si>
    <t>≤ 30 minutos usuario nuevo</t>
  </si>
  <si>
    <t>Pruebas con usuarios reales (mínimo 10)</t>
  </si>
  <si>
    <t>Compatibilidad móvil</t>
  </si>
  <si>
    <t>100% funciones core</t>
  </si>
  <si>
    <t>Pruebas en dispositivos iOS/Android</t>
  </si>
  <si>
    <t>Satisfacción del usuario</t>
  </si>
  <si>
    <t>≥ 4/5 en encuesta</t>
  </si>
  <si>
    <t>SUS (System Usability Scale) ≥ 80 puntos</t>
  </si>
  <si>
    <t>Mantenibilidad</t>
  </si>
  <si>
    <t>MTBF (Mean Time Between Failures)</t>
  </si>
  <si>
    <t>≥ 720 horas</t>
  </si>
  <si>
    <t>Log de incidencias durante 3 meses</t>
  </si>
  <si>
    <t>MTTR (Mean Time To Repair)</t>
  </si>
  <si>
    <t>≤ 2 horas críticas</t>
  </si>
  <si>
    <t>Registro de tiempos de resolución</t>
  </si>
  <si>
    <t>Compatibilidad navegadores</t>
  </si>
  <si>
    <t>100% últimas 2 versiones</t>
  </si>
  <si>
    <t>Pruebas en diversos navegadores</t>
  </si>
  <si>
    <t>Servicio Azure</t>
  </si>
  <si>
    <t>SKU / Configuración</t>
  </si>
  <si>
    <t>Propósito</t>
  </si>
  <si>
    <t>Costo/Mes USD</t>
  </si>
  <si>
    <t>Azure Container Apps</t>
  </si>
  <si>
    <t>Dedicated — 2 vCPU / 4 GB RAM (min 1 réplica, max 3)</t>
  </si>
  <si>
    <t>API Backend (NestJS)</t>
  </si>
  <si>
    <t>~$120</t>
  </si>
  <si>
    <t>Dedicated — 1 vCPU / 2 GB RAM (min 1, max 2)</t>
  </si>
  <si>
    <t>Worker BullMQ</t>
  </si>
  <si>
    <t>~$60</t>
  </si>
  <si>
    <t>Consumption — 0.5 vCPU / 1 GB RAM</t>
  </si>
  <si>
    <t>Cron Scheduler</t>
  </si>
  <si>
    <t>~$20</t>
  </si>
  <si>
    <t>Azure Static Web Apps</t>
  </si>
  <si>
    <t>Standard</t>
  </si>
  <si>
    <t>CRM Web SPA (React)</t>
  </si>
  <si>
    <t>$9</t>
  </si>
  <si>
    <t>Dedicated — 1 vCPU / 2 GB RAM (min 1, max 3)</t>
  </si>
  <si>
    <t>Portal Público SSR</t>
  </si>
  <si>
    <t>Azure Database for PostgreSQL Flexible</t>
  </si>
  <si>
    <t>General Purpose D2s v3 — 2 vCPU / 8 GB / 128 GB SSD</t>
  </si>
  <si>
    <t>PostgreSQL 16 + PostGIS</t>
  </si>
  <si>
    <t>~$185</t>
  </si>
  <si>
    <t>Azure Cache for Redis</t>
  </si>
  <si>
    <t>Standard C1 — 1 GB con réplica</t>
  </si>
  <si>
    <t>Cache BI + BullMQ + Sesiones</t>
  </si>
  <si>
    <t>~$55</t>
  </si>
  <si>
    <t>Azure Blob Storage</t>
  </si>
  <si>
    <t>LRS Standard — 500 GB + CDN</t>
  </si>
  <si>
    <t>Multimedia, PDFs, Documentos</t>
  </si>
  <si>
    <t>~$30</t>
  </si>
  <si>
    <t>Azure CDN</t>
  </si>
  <si>
    <t>Standard Microsoft — 1 TB/mes</t>
  </si>
  <si>
    <t>Assets estáticos + Blob</t>
  </si>
  <si>
    <t>~$15</t>
  </si>
  <si>
    <t>Azure Application Gateway</t>
  </si>
  <si>
    <t>WAF v2 — Standard</t>
  </si>
  <si>
    <t>WAF + Load Balancer + SSL</t>
  </si>
  <si>
    <t>~$130</t>
  </si>
  <si>
    <t>Azure Key Vault</t>
  </si>
  <si>
    <t>Secretos, API keys, certificados</t>
  </si>
  <si>
    <t>~$5</t>
  </si>
  <si>
    <t>Azure Monitor + App Insights</t>
  </si>
  <si>
    <t>Pay-as-you-go — 5 GB logs/mes</t>
  </si>
  <si>
    <t>Monitoreo, alertas, trazas</t>
  </si>
  <si>
    <t>~$25</t>
  </si>
  <si>
    <t>Azure Backup</t>
  </si>
  <si>
    <t>PostgreSQL backup automático 35 días</t>
  </si>
  <si>
    <t>RPO &lt; 24h</t>
  </si>
  <si>
    <t>Azure DNS</t>
  </si>
  <si>
    <t>Zona DNS + registros</t>
  </si>
  <si>
    <t>Dominio principal + subdomains</t>
  </si>
  <si>
    <t>Resend (email)</t>
  </si>
  <si>
    <t>Pro — 100,000 emails/mes</t>
  </si>
  <si>
    <t>Emails transaccionales y campañas</t>
  </si>
  <si>
    <t>TOTAL FASE INICIAL</t>
  </si>
  <si>
    <t>~$759 USD/mes</t>
  </si>
  <si>
    <t>Cambio respecto a Fase Inicial</t>
  </si>
  <si>
    <t>Azure Container Apps — API</t>
  </si>
  <si>
    <t>Escala a 4 vCPU / 8 GB, max 5 réplicas</t>
  </si>
  <si>
    <t>~$250</t>
  </si>
  <si>
    <t>Azure Container Apps — Worker</t>
  </si>
  <si>
    <t>Escala a 2 vCPU / 4 GB, max 4 réplicas</t>
  </si>
  <si>
    <t>~$125</t>
  </si>
  <si>
    <t>Azure Container Apps — Portal</t>
  </si>
  <si>
    <t>Escala a 2 vCPU / 4 GB, max 5 réplicas</t>
  </si>
  <si>
    <t>Azure Database for PostgreSQL</t>
  </si>
  <si>
    <t>General Purpose D4s v3 — 4 vCPU / 16 GB / 512 GB + réplica lectura</t>
  </si>
  <si>
    <t>~$420</t>
  </si>
  <si>
    <t>Standard C2 — 6 GB con réplica</t>
  </si>
  <si>
    <t>2 TB + CDN</t>
  </si>
  <si>
    <t>~$80</t>
  </si>
  <si>
    <t>Azure Application Gateway WAF v2</t>
  </si>
  <si>
    <t>Sin cambio</t>
  </si>
  <si>
    <t>Demás servicios</t>
  </si>
  <si>
    <t>Sin cambios significativos</t>
  </si>
  <si>
    <t>~$85</t>
  </si>
  <si>
    <t>Resend</t>
  </si>
  <si>
    <t>Scale — 500,000 emails/mes</t>
  </si>
  <si>
    <t>~$90</t>
  </si>
  <si>
    <t>TOTAL FASE CRECIMIENTO</t>
  </si>
  <si>
    <t>~$1,425 USD/mes</t>
  </si>
  <si>
    <t>Columna1</t>
  </si>
  <si>
    <t>Configuración</t>
  </si>
  <si>
    <t>8 vCPU / 16 GB, auto-scale 2–10 réplicas</t>
  </si>
  <si>
    <t>~$520</t>
  </si>
  <si>
    <t>4 vCPU / 8 GB, auto-scale 2–8 réplicas</t>
  </si>
  <si>
    <t>~$260</t>
  </si>
  <si>
    <t>Memory Optimized E8ds v5 — 8 vCPU / 64 GB / 1 TB + 2 réplicas lectura</t>
  </si>
  <si>
    <t>~$900</t>
  </si>
  <si>
    <t>Premium P1 — 6 GB, clustering, geo-replicación</t>
  </si>
  <si>
    <t>~$320</t>
  </si>
  <si>
    <t>10 TB + CDN global</t>
  </si>
  <si>
    <t>~$300</t>
  </si>
  <si>
    <t>Large + autoscale</t>
  </si>
  <si>
    <t>~$280</t>
  </si>
  <si>
    <t>Azure Monitor</t>
  </si>
  <si>
    <t>50 GB logs/mes + alertas + dashboards</t>
  </si>
  <si>
    <t>Azure Backup + Geo-redundancia</t>
  </si>
  <si>
    <t>RA-GRS para PostgreSQL y Blob</t>
  </si>
  <si>
    <t>Business — 2M emails/mes</t>
  </si>
  <si>
    <t>~$200</t>
  </si>
  <si>
    <t>DNS, Key Vault, Static Web Apps</t>
  </si>
  <si>
    <t>TOTAL FASE MADUREZ</t>
  </si>
  <si>
    <t>~$3,270 USD/mes</t>
  </si>
  <si>
    <t>Fase</t>
  </si>
  <si>
    <t>Tenants activos</t>
  </si>
  <si>
    <t>Costo infra Azure/mes</t>
  </si>
  <si>
    <t>Costo soporte/mes</t>
  </si>
  <si>
    <t>OPEX Total/mes</t>
  </si>
  <si>
    <t>Fase Inicial</t>
  </si>
  <si>
    <t>1 – 30</t>
  </si>
  <si>
    <t>$759</t>
  </si>
  <si>
    <t>$800</t>
  </si>
  <si>
    <t>$1,559</t>
  </si>
  <si>
    <t>Fase Crecimiento</t>
  </si>
  <si>
    <t>31 – 100</t>
  </si>
  <si>
    <t>$1,425</t>
  </si>
  <si>
    <t>$1,200</t>
  </si>
  <si>
    <t>$2,625</t>
  </si>
  <si>
    <t>Fase Madurez</t>
  </si>
  <si>
    <t>101 – 300</t>
  </si>
  <si>
    <t>$3,270</t>
  </si>
  <si>
    <t>$2,000</t>
  </si>
  <si>
    <t>$5,270</t>
  </si>
  <si>
    <t>Plan Starter</t>
  </si>
  <si>
    <t>Plan Professional</t>
  </si>
  <si>
    <t>Plan Enterprise</t>
  </si>
  <si>
    <t>Precio/mes</t>
  </si>
  <si>
    <t>$149 USD</t>
  </si>
  <si>
    <t>$349 USD</t>
  </si>
  <si>
    <t>$699 USD</t>
  </si>
  <si>
    <t>Agentes incluidos</t>
  </si>
  <si>
    <t>Hasta 5</t>
  </si>
  <si>
    <t>Hasta 20</t>
  </si>
  <si>
    <t>Hasta 50</t>
  </si>
  <si>
    <t>Agentes adicionales</t>
  </si>
  <si>
    <t>—</t>
  </si>
  <si>
    <t>$15/agente/mes</t>
  </si>
  <si>
    <t>$12/agente/mes</t>
  </si>
  <si>
    <t>Propiedades activas</t>
  </si>
  <si>
    <t>Hasta 300</t>
  </si>
  <si>
    <t>Hasta 3,000</t>
  </si>
  <si>
    <t>Ilimitadas</t>
  </si>
  <si>
    <t>Portal público SSR</t>
  </si>
  <si>
    <t>✅</t>
  </si>
  <si>
    <t>Brochure PDF</t>
  </si>
  <si>
    <t>App móvil</t>
  </si>
  <si>
    <t>❌</t>
  </si>
  <si>
    <t>Publicación Meta API</t>
  </si>
  <si>
    <t>Sindicación portales</t>
  </si>
  <si>
    <t>DocuSign / Zoom</t>
  </si>
  <si>
    <t>Dashboard BI</t>
  </si>
  <si>
    <t>Básico</t>
  </si>
  <si>
    <t>Completo</t>
  </si>
  <si>
    <t>Completo + exportable</t>
  </si>
  <si>
    <t>Emails incluidos/mes</t>
  </si>
  <si>
    <t>Almacenamiento</t>
  </si>
  <si>
    <t>5 GB</t>
  </si>
  <si>
    <t>50 GB</t>
  </si>
  <si>
    <t>200 GB</t>
  </si>
  <si>
    <t>SLA uptime</t>
  </si>
  <si>
    <t>Soporte</t>
  </si>
  <si>
    <t>Email (48h)</t>
  </si>
  <si>
    <t>Chat (24h)</t>
  </si>
  <si>
    <t>Prioritario (4h)</t>
  </si>
  <si>
    <t>Stakeholder</t>
  </si>
  <si>
    <t>Rol en el sistema</t>
  </si>
  <si>
    <t>Super Admin</t>
  </si>
  <si>
    <t>Operador de la plataforma SaaS; administra tenants y configuración global</t>
  </si>
  <si>
    <t>Gerente de Agencia</t>
  </si>
  <si>
    <t>Admin del tenant; gestiona agentes, reportes y configuración de la empresa</t>
  </si>
  <si>
    <t>Agente Senior</t>
  </si>
  <si>
    <t>Gestiona propiedades, clientes y pipeline; supervisa agentes junior</t>
  </si>
  <si>
    <t>Agente Junior</t>
  </si>
  <si>
    <t>Opera propiedades y clientes bajo supervisión; visibilidad limitada</t>
  </si>
  <si>
    <t>Cliente</t>
  </si>
  <si>
    <t>Usuario del portal público; busca propiedades y agenda visitas</t>
  </si>
  <si>
    <t>Equipo de Desarrollo</t>
  </si>
  <si>
    <t>Construye, mantiene y despliega el sistema</t>
  </si>
  <si>
    <t>QA / Tester</t>
  </si>
  <si>
    <t>Valida la calidad funcional y de seguridad de cada módulo</t>
  </si>
  <si>
    <t>No.</t>
  </si>
  <si>
    <t>Dueño de Empresa PYME</t>
  </si>
  <si>
    <t>Propietario de la agencia inmobiliaria; define requerimientos de negocio y aprueba entregables</t>
  </si>
  <si>
    <t>Tarea</t>
  </si>
  <si>
    <t>Gerente</t>
  </si>
  <si>
    <t>Ag. Senior</t>
  </si>
  <si>
    <t>Ag. Junior</t>
  </si>
  <si>
    <t>Dueño PYME</t>
  </si>
  <si>
    <t>Dev</t>
  </si>
  <si>
    <t>QA</t>
  </si>
  <si>
    <t>Análisis de Requisitos</t>
  </si>
  <si>
    <t>Desarrollo de Software</t>
  </si>
  <si>
    <t>Validación de Usuario</t>
  </si>
  <si>
    <t>Capacitación de Usuario</t>
  </si>
  <si>
    <t>Control de Calidad</t>
  </si>
  <si>
    <t>Poder</t>
  </si>
  <si>
    <t>Interés</t>
  </si>
  <si>
    <t>Cuadrante</t>
  </si>
  <si>
    <t>Estrategia</t>
  </si>
  <si>
    <t>Alto</t>
  </si>
  <si>
    <t>Gestionar de cerca</t>
  </si>
  <si>
    <t>Involucrar en decisiones clave, validaciones y aprobaciones de entregables</t>
  </si>
  <si>
    <t>Reuniones frecuentes, reportes de avance, validación de requisitos funcionales</t>
  </si>
  <si>
    <t>Bajo</t>
  </si>
  <si>
    <t>Mantener satisfecho</t>
  </si>
  <si>
    <t>Informar sobre cambios de infraestructura y seguridad; no saturar con detalles</t>
  </si>
  <si>
    <t>Mantener informado</t>
  </si>
  <si>
    <t>Consultar en validaciones de usuario; incluir en pruebas de aceptación</t>
  </si>
  <si>
    <t>Recoger feedback sobre portal público y flujo de visitas; encuestas de satisfacción</t>
  </si>
  <si>
    <t>Monitorear</t>
  </si>
  <si>
    <t>Comunicar cambios de alcance; asegurar claridad en requerimientos técnicos</t>
  </si>
  <si>
    <t>Informar sobre cambios en su flujo de trabajo; capacitar en nuevas funcionalidades</t>
  </si>
  <si>
    <t>Proveer criterios de aceptación claros; revisar resultados de pruebas</t>
  </si>
  <si>
    <t>Nombre del Caso de Uso</t>
  </si>
  <si>
    <t>HU-01.01</t>
  </si>
  <si>
    <t>Gestión de Empresas (Tenants)</t>
  </si>
  <si>
    <t>HU-02.01</t>
  </si>
  <si>
    <t>Autenticación con 2FA y Bloqueo Progresivo</t>
  </si>
  <si>
    <t>HU-02.02</t>
  </si>
  <si>
    <t>Recuperación de Cuenta</t>
  </si>
  <si>
    <t>HU-02.03</t>
  </si>
  <si>
    <t>Onboarding de Primer Acceso</t>
  </si>
  <si>
    <t>HU-03.01</t>
  </si>
  <si>
    <t>Auditoría Inmutable de Acciones</t>
  </si>
  <si>
    <t>HU-04.01</t>
  </si>
  <si>
    <t>Jerarquía Organizacional y RBAC</t>
  </si>
  <si>
    <t>HU-05.01</t>
  </si>
  <si>
    <t>CRUD de Propiedades y Ciclo de Vida</t>
  </si>
  <si>
    <t>HU-05.02</t>
  </si>
  <si>
    <t>Carga de Multimedia y Geolocalización</t>
  </si>
  <si>
    <t>HU-05.03</t>
  </si>
  <si>
    <t>Gestión de Propietarios y Expediente Legal</t>
  </si>
  <si>
    <t>HU-05.04</t>
  </si>
  <si>
    <t>Generación y Distribución de Brochure PDF</t>
  </si>
  <si>
    <t>HU-06.01</t>
  </si>
  <si>
    <t>Portal Público con Búsqueda Avanzada</t>
  </si>
  <si>
    <t>HU-06.02</t>
  </si>
  <si>
    <t>Registro de Cliente y Alertas de Matching</t>
  </si>
  <si>
    <t>HU-07.01</t>
  </si>
  <si>
    <t>Inicio de Trámite y Vista Kanban</t>
  </si>
  <si>
    <t>HU-07.02</t>
  </si>
  <si>
    <t>Máquina de Estados del Embudo de Ventas</t>
  </si>
  <si>
    <t>HU-08.01</t>
  </si>
  <si>
    <t>Timeline de Interacciones con Clientes</t>
  </si>
  <si>
    <t>HU-08.02</t>
  </si>
  <si>
    <t>Tareas Automáticas y Tracking de Email</t>
  </si>
  <si>
    <t>HU-09.01</t>
  </si>
  <si>
    <t>Agendamiento de Visitas con Invitación .ics</t>
  </si>
  <si>
    <t>HU-09.02</t>
  </si>
  <si>
    <t>Reprogramación y Reporte Post-Visita</t>
  </si>
  <si>
    <t>HU-10.01</t>
  </si>
  <si>
    <t>Publicación Automática en Redes Sociales</t>
  </si>
  <si>
    <t>HU-10.02</t>
  </si>
  <si>
    <t>Campañas de Email con Plantillas</t>
  </si>
  <si>
    <t>HU-10.03</t>
  </si>
  <si>
    <t>Chatbot de Captación de Leads</t>
  </si>
  <si>
    <t>HU-11.01</t>
  </si>
  <si>
    <t>Dashboard de Métricas de Propiedades</t>
  </si>
  <si>
    <t>HU-11.02</t>
  </si>
  <si>
    <t>Reportes de Desempeño de Agentes</t>
  </si>
  <si>
    <t>HU-11.03</t>
  </si>
  <si>
    <t>Ranking Gamificado de Agentes</t>
  </si>
  <si>
    <t>HU-12.01</t>
  </si>
  <si>
    <t>Sindicación a Portales Externos</t>
  </si>
  <si>
    <t>HU-12.02</t>
  </si>
  <si>
    <t>Firma Digital y Videollamadas</t>
  </si>
  <si>
    <t>HU-12.03</t>
  </si>
  <si>
    <t>App Móvil con Push Notifications</t>
  </si>
  <si>
    <t>HU-13.01</t>
  </si>
  <si>
    <t>Centro de Notificaciones In-App</t>
  </si>
  <si>
    <t>HU-13.02</t>
  </si>
  <si>
    <t>Búsqueda Global Federada (Ctrl+K)</t>
  </si>
  <si>
    <t>HU-13.03</t>
  </si>
  <si>
    <t>Importación Masiva de Datos (Excel/CSV)</t>
  </si>
  <si>
    <t>Símbolo</t>
  </si>
  <si>
    <t>Término</t>
  </si>
  <si>
    <t>Significado</t>
  </si>
  <si>
    <t>Obligatorio</t>
  </si>
  <si>
    <t>Requisito imprescindible; el producto no es viable sin él.</t>
  </si>
  <si>
    <t>Importante</t>
  </si>
  <si>
    <t>Alta prioridad, pero no crítico para el lanzamiento inicial.</t>
  </si>
  <si>
    <t>Deseable</t>
  </si>
  <si>
    <t>Conveniente si el tiempo y los recursos lo permiten.</t>
  </si>
  <si>
    <t>Descartado</t>
  </si>
  <si>
    <t>No se incluirá en la iteración actual.</t>
  </si>
  <si>
    <t>🔴 Must</t>
  </si>
  <si>
    <t>🟡 Should</t>
  </si>
  <si>
    <t>🟢 Could</t>
  </si>
  <si>
    <t>⚫ Won't</t>
  </si>
  <si>
    <t>Historia (resumen)</t>
  </si>
  <si>
    <t>Épica / Módulo</t>
  </si>
  <si>
    <t>Prioridad</t>
  </si>
  <si>
    <t>Dependencias</t>
  </si>
  <si>
    <t>Creación y configuración de empresas</t>
  </si>
  <si>
    <t>Multiempresa</t>
  </si>
  <si>
    <t>Login multicapa con 2FA, geocerca y bloqueo</t>
  </si>
  <si>
    <t>Seguridad — Autenticación</t>
  </si>
  <si>
    <t>Recuperación de contraseña y desbloqueo de cuenta</t>
  </si>
  <si>
    <t>Seguridad — Recuperación</t>
  </si>
  <si>
    <t>Activación de cuenta con contraseña y 2FA por primera vez</t>
  </si>
  <si>
    <t>Seguridad — Onboarding</t>
  </si>
  <si>
    <t>Registro inmutable de todas las acciones en el sistema</t>
  </si>
  <si>
    <t>Auditoría</t>
  </si>
  <si>
    <t>Gestión de roles, árbol jerárquico y visibilidad recursiva</t>
  </si>
  <si>
    <t>Jerarquía Organizacional</t>
  </si>
  <si>
    <t>HU-01.01, HU-02.01</t>
  </si>
  <si>
    <t>Registro de propiedades con tipología, precios y estados</t>
  </si>
  <si>
    <t>Propiedades — Ficha Técnica</t>
  </si>
  <si>
    <t>Carga de imágenes/videos y geolocalización con mapas</t>
  </si>
  <si>
    <t>Propiedades — Multimedia</t>
  </si>
  <si>
    <t>Propietarios, documentos legales y carta de comisión</t>
  </si>
  <si>
    <t>Propiedades — Expediente</t>
  </si>
  <si>
    <t>Generación de brochure PDF y distribución multicanal</t>
  </si>
  <si>
    <t>Propiedades — Marketing</t>
  </si>
  <si>
    <t>HU-05.01, HU-05.02</t>
  </si>
  <si>
    <t>Catálogo público filtrable con búsqueda avanzada</t>
  </si>
  <si>
    <t>Portal del Cliente</t>
  </si>
  <si>
    <t>Perfil, preferencias de búsqueda y alertas de inactividad</t>
  </si>
  <si>
    <t>Inicio de trámite y seguimiento por parte del cliente</t>
  </si>
  <si>
    <t>Embudo de Ventas</t>
  </si>
  <si>
    <t>HU-06.01, HU-05.01</t>
  </si>
  <si>
    <t>Máquina de estados con concurrencia y reglas de bloqueo</t>
  </si>
  <si>
    <t>HU-07.01, HU-04.01</t>
  </si>
  <si>
    <t>Línea de tiempo centralizada de interacciones</t>
  </si>
  <si>
    <t>Omnicanalidad</t>
  </si>
  <si>
    <t>Tareas automáticas, tracking de email y productividad</t>
  </si>
  <si>
    <t>Agendamiento de visitas con prevención de conflictos</t>
  </si>
  <si>
    <t>Agenda — Citas</t>
  </si>
  <si>
    <t>HU-07.01, HU-05.01</t>
  </si>
  <si>
    <t>Reprogramación por cliente y reporte obligatorio de visita</t>
  </si>
  <si>
    <t>Agenda — Reportes</t>
  </si>
  <si>
    <t>Publicación automática en Facebook/Instagram vía Meta API</t>
  </si>
  <si>
    <t>Marketing — Redes Sociales</t>
  </si>
  <si>
    <t>Plantillas de respuesta rápida y correos automatizados</t>
  </si>
  <si>
    <t>Marketing — Email</t>
  </si>
  <si>
    <t>HU-07.01, HU-08.01</t>
  </si>
  <si>
    <t>Chatbot en portal web para captura de leads 24/7</t>
  </si>
  <si>
    <t>Marketing — Chatbot</t>
  </si>
  <si>
    <t>Dashboard de interacción de propiedades</t>
  </si>
  <si>
    <t>BI — Métricas</t>
  </si>
  <si>
    <t>HU-05.01, HU-07.01</t>
  </si>
  <si>
    <t>Reportes estadísticos de cierres y comisiones</t>
  </si>
  <si>
    <t>BI — Desempeño</t>
  </si>
  <si>
    <t>Ranking anónimo de agentes con gamificación</t>
  </si>
  <si>
    <t>BI — Ranking</t>
  </si>
  <si>
    <t>Sincronización con portales externos (Zillow, ML, E24)</t>
  </si>
  <si>
    <t>Ecosistema — Sindicación</t>
  </si>
  <si>
    <t>Integración con DocuSign y Zoom/Meet</t>
  </si>
  <si>
    <t>Ecosistema — Firmas/Video</t>
  </si>
  <si>
    <t>Notificaciones push y app móvil</t>
  </si>
  <si>
    <t>Ecosistema — Movilidad</t>
  </si>
  <si>
    <t>Centro de notificaciones unificado</t>
  </si>
  <si>
    <t>Transversal — Notificaciones</t>
  </si>
  <si>
    <t>Barra de búsqueda global federada</t>
  </si>
  <si>
    <t>Transversal — Búsqueda</t>
  </si>
  <si>
    <t>HU-05.01, HU-06.01</t>
  </si>
  <si>
    <t>Importación masiva de datos desde Excel/CSV</t>
  </si>
  <si>
    <t>Transversal — Importación</t>
  </si>
  <si>
    <t>Definición</t>
  </si>
  <si>
    <t>Profesional especializado en la intermediación de transacciones de compra, venta y alquiler de bienes raíces, actuando como enlace entre compradores y vendedores.</t>
  </si>
  <si>
    <t>API (Application Programming Interface)</t>
  </si>
  <si>
    <t>Conjunto de protocolos y herramientas que permite la comunicación entre diferentes componentes de software o sistemas externos.</t>
  </si>
  <si>
    <t>Arrendamiento</t>
  </si>
  <si>
    <t>Contrato mediante el cual el propietario cede el uso de una propiedad a un inquilino a cambio de una renta periódica.</t>
  </si>
  <si>
    <t>Avalúo</t>
  </si>
  <si>
    <t>Proceso técnico de valoración profesional de una propiedad para determinar su valor comercial en el mercado actual.</t>
  </si>
  <si>
    <t>Backup</t>
  </si>
  <si>
    <t>Copia de seguridad automática de los datos del sistema que se realiza periódicamente para prevenir pérdida de información.</t>
  </si>
  <si>
    <t>Base de Datos</t>
  </si>
  <si>
    <t>Sistema organizado de almacenamiento digital que mantiene toda la información de propiedades, clientes, transacciones y usuarios del CRM.</t>
  </si>
  <si>
    <t>BI (Business Intelligence)</t>
  </si>
  <si>
    <t>Conjunto de métricas, reportes y visualizaciones que permiten analizar el rendimiento del negocio inmobiliario desde el dashboard.</t>
  </si>
  <si>
    <t>Bien Raíz</t>
  </si>
  <si>
    <t>Propiedad inmueble que incluye terrenos, edificios y cualquier estructura permanente anexa al suelo.</t>
  </si>
  <si>
    <t>Brochure Digital</t>
  </si>
  <si>
    <t>Documento PDF generado automáticamente con las características, fotografías y precio de una propiedad, listo para compartir con clientes.</t>
  </si>
  <si>
    <t>Cliente Potencial (Lead)</t>
  </si>
  <si>
    <t>Persona o entidad que ha mostrado interés inicial en servicios inmobiliarios pero aún no ha realizado una transacción.</t>
  </si>
  <si>
    <t>Comisión</t>
  </si>
  <si>
    <t>Porcentaje del valor de una transacción inmobiliaria que recibe el agente como compensación por sus servicios profesionales.</t>
  </si>
  <si>
    <t>CRM (Customer Relationship Management)</t>
  </si>
  <si>
    <t>Sistema de gestión de relaciones con clientes que centraliza información, interacciones y procesos comerciales.</t>
  </si>
  <si>
    <t>CRUD</t>
  </si>
  <si>
    <t>Operaciones básicas de sistemas de bases de datos: Create (Crear), Read (Leer), Update (Actualizar), Delete (Eliminar).</t>
  </si>
  <si>
    <t>Dashboard</t>
  </si>
  <si>
    <t>Panel de control visual que presenta métricas, indicadores clave y resúmenes ejecutivos del negocio inmobiliario en tiempo real.</t>
  </si>
  <si>
    <t>Downline</t>
  </si>
  <si>
    <t>Estructura jerárquica de subordinados de un agente; define la visibilidad de datos por rol (JUNIOR: solo propios; SENIOR: su downline completo).</t>
  </si>
  <si>
    <t>DPI (Documento Personal de Identificación)</t>
  </si>
  <si>
    <t>Documento oficial de identificación único utilizado en Guatemala para verificar la identidad de personas.</t>
  </si>
  <si>
    <t>Escritura Pública</t>
  </si>
  <si>
    <t>Documento legal que formaliza oficialmente la transferencia de propiedad de un bien inmueble.</t>
  </si>
  <si>
    <t>Estatus de Propiedad</t>
  </si>
  <si>
    <t>Estado actual de una propiedad en el inventario. Valores posibles: Disponible, Reservada, Vendida, Rentada, Retirada del mercado.</t>
  </si>
  <si>
    <t>FONAPAZ</t>
  </si>
  <si>
    <t>Fondo Nacional para la Paz de Guatemala; entidad que maneja ciertos aspectos registrales de propiedades.</t>
  </si>
  <si>
    <t>Frontend</t>
  </si>
  <si>
    <t>Interfaz de usuario visible y funcional con la que interactúan directamente los agentes inmobiliarios y administradores.</t>
  </si>
  <si>
    <t>Geocodificación</t>
  </si>
  <si>
    <t>Conversión de una dirección textual a coordenadas geográficas (latitud/longitud) para ubicar propiedades en el mapa.</t>
  </si>
  <si>
    <t>GTQ (Quetzal Guatemalteco)</t>
  </si>
  <si>
    <t>Moneda oficial de Guatemala utilizada para todas las transacciones y valoraciones en el sistema.</t>
  </si>
  <si>
    <t>Historial de Cliente</t>
  </si>
  <si>
    <t>Registro cronológico completo de todas las interacciones, visitas, preferencias y transacciones asociadas a un cliente específico.</t>
  </si>
  <si>
    <t>Hosting</t>
  </si>
  <si>
    <t>Servicio de alojamiento web en servidores en la nube que mantiene el sistema CRM accesible 24/7.</t>
  </si>
  <si>
    <t>ICS (iCalendar)</t>
  </si>
  <si>
    <t>Formato estándar de archivo de calendario (.ics) generado al confirmar una visita, compatible con Google Calendar, Outlook y Apple Calendar.</t>
  </si>
  <si>
    <t>Inmueble</t>
  </si>
  <si>
    <t>Bien inmobiliario que no puede moverse de su ubicación (casas, apartamentos, terrenos, oficinas, locales comerciales).</t>
  </si>
  <si>
    <t>Inquilino</t>
  </si>
  <si>
    <t>Persona que ocupa una propiedad mediante contrato de arrendamiento pagando una renta mensual.</t>
  </si>
  <si>
    <t>ISO/IEC 25010</t>
  </si>
  <si>
    <t>Estándar internacional que define un modelo de calidad para sistemas y software, especificando características como usabilidad, confiabilidad y rendimiento.</t>
  </si>
  <si>
    <t>JSON (JavaScript Object Notation)</t>
  </si>
  <si>
    <t>Formato ligero de intercambio de datos utilizado para la comunicación entre frontend y backend.</t>
  </si>
  <si>
    <t>JWT (JSON Web Token)</t>
  </si>
  <si>
    <t>Estándar para transmitir credenciales de autenticación entre cliente y servidor de forma compacta y verificable mediante firma digital.</t>
  </si>
  <si>
    <t>KPI (Key Performance Indicator)</t>
  </si>
  <si>
    <t>Indicadores clave de rendimiento que miden la efectividad y éxito del negocio inmobiliario.</t>
  </si>
  <si>
    <t>Lead</t>
  </si>
  <si>
    <t>Cliente potencial que ha mostrado interés inicial pero requiere seguimiento comercial para convertirse en cliente activo. Ver también: Cliente Potencial.</t>
  </si>
  <si>
    <t>Listing</t>
  </si>
  <si>
    <t>Registro público de una propiedad disponible para venta o alquiler con todas sus características y precio.</t>
  </si>
  <si>
    <t>MLS (Multiple Listing Service)</t>
  </si>
  <si>
    <t>Sistema compartido donde múltiples agentes pueden listar y buscar propiedades disponibles.</t>
  </si>
  <si>
    <t>Tiempo promedio entre fallas del sistema; métrica de confiabilidad técnica.</t>
  </si>
  <si>
    <t>Tiempo promedio para reparar y restaurar el servicio después de una falla.</t>
  </si>
  <si>
    <t>Multi-tenant</t>
  </si>
  <si>
    <t>Modelo arquitectónico donde una sola instancia del sistema sirve a múltiples tenants simultáneamente, con datos completamente separados entre ellos.</t>
  </si>
  <si>
    <t>Notificación Automática</t>
  </si>
  <si>
    <t>Alerta generada automáticamente por el sistema para informar sobre eventos importantes (nueva visita, cambio de precio, vencimiento de documento, etc.).</t>
  </si>
  <si>
    <t>Oferta</t>
  </si>
  <si>
    <t>Propuesta formal de compra o alquiler presentada por un cliente para una propiedad específica.</t>
  </si>
  <si>
    <t>Onboarding</t>
  </si>
  <si>
    <t>Proceso inicial de configuración de una nueva agencia (tenant) en el sistema: creación de cuenta, configuración de roles y carga de datos base.</t>
  </si>
  <si>
    <t>Pipeline de Ventas</t>
  </si>
  <si>
    <t>Proceso estructurado que sigue una oportunidad comercial desde el contacto inicial hasta la transacción cerrada.</t>
  </si>
  <si>
    <t>Propietario</t>
  </si>
  <si>
    <t>Persona física o jurídica que posee legalmente un bien inmueble registrado a su nombre.</t>
  </si>
  <si>
    <t>PYMES</t>
  </si>
  <si>
    <t>Pequeñas y Medianas Empresas; segmento objetivo principal del sistema.</t>
  </si>
  <si>
    <t>Query</t>
  </si>
  <si>
    <t>Consulta estructurada a la base de datos para recuperar información específica de propiedades, clientes o transacciones.</t>
  </si>
  <si>
    <t>RBAC (Role-Based Access Control)</t>
  </si>
  <si>
    <t>Sistema de control de acceso basado en roles que determina qué funciones puede realizar cada usuario.</t>
  </si>
  <si>
    <t>Registro de la Propiedad</t>
  </si>
  <si>
    <t>Institución oficial guatemalteca que certifica y registra la propiedad legal de bienes inmuebles.</t>
  </si>
  <si>
    <t>RLS (Row-Level Security)</t>
  </si>
  <si>
    <t>Mecanismo de PostgreSQL que restringe qué filas puede ver o modificar cada sesión; es el núcleo del aislamiento de datos entre tenants.</t>
  </si>
  <si>
    <t>ROI (Return on Investment)</t>
  </si>
  <si>
    <t>Retorno de inversión; métrica que evalúa la rentabilidad de las operaciones inmobiliarias.</t>
  </si>
  <si>
    <t>SaaS (Software as a Service)</t>
  </si>
  <si>
    <t>Modelo de entrega de software en la nube donde los clientes pagan una suscripción en lugar de instalar el sistema localmente.</t>
  </si>
  <si>
    <t>SAT (Superintendencia de Administración Tributaria)</t>
  </si>
  <si>
    <t>Entidad gubernamental guatemalteca responsable de la recaudación de impuestos sobre propiedades.</t>
  </si>
  <si>
    <t>Sindicación</t>
  </si>
  <si>
    <t>Publicación automática o manual de una propiedad en portales externos (sitio web público, redes sociales) a partir de su ficha interna en el CRM.</t>
  </si>
  <si>
    <t>Cualquier persona o entidad que tiene interés o se ve afectada por el proyecto del sistema CRM.</t>
  </si>
  <si>
    <t>Tenant</t>
  </si>
  <si>
    <t>Cada agencia inmobiliaria que contrata el servicio; opera de forma completamente aislada de los demás tenants dentro de la misma instancia del sistema.</t>
  </si>
  <si>
    <t>Throughput</t>
  </si>
  <si>
    <t>Cantidad de transacciones o usuarios que el sistema puede procesar simultáneamente sin degradación de rendimiento.</t>
  </si>
  <si>
    <t>TOTP (Time-based One-Time Password)</t>
  </si>
  <si>
    <t>Algoritmo de segundo factor de autenticación (2FA) que genera un código temporal cada 30 segundos.</t>
  </si>
  <si>
    <t>Trazabilidad</t>
  </si>
  <si>
    <t>Capacidad del sistema de rastrear y registrar todas las acciones y cambios realizados para fines de auditoría.</t>
  </si>
  <si>
    <t>UML (Unified Modeling Language)</t>
  </si>
  <si>
    <t>Lenguaje de modelado unificado utilizado para documentar la arquitectura y procesos del sistema.</t>
  </si>
  <si>
    <t>Uptime</t>
  </si>
  <si>
    <t>Porcentaje de tiempo que el sistema permanece operativo y accesible para los usuarios.</t>
  </si>
  <si>
    <t>Visita</t>
  </si>
  <si>
    <t>Cita programada entre un agente, cliente y propiedad para la inspección física del inmueble.</t>
  </si>
  <si>
    <t>Capa</t>
  </si>
  <si>
    <t>Responsabilidad</t>
  </si>
  <si>
    <t>Presentación</t>
  </si>
  <si>
    <t>Interfaz de usuario, renderizado y estado cliente</t>
  </si>
  <si>
    <t>React + Vite (CRM Web), Next.js 14 SSR (Portal), React Native (App)</t>
  </si>
  <si>
    <t>API / Controladores</t>
  </si>
  <si>
    <t>Enrutamiento HTTP, validación de entrada, autenticación</t>
  </si>
  <si>
    <t>NestJS Controllers + Guards + Interceptors</t>
  </si>
  <si>
    <t>Lógica de Negocio</t>
  </si>
  <si>
    <t>Reglas de dominio, máquinas de estado, cálculos</t>
  </si>
  <si>
    <t>NestJS Services (PipelineService, PropiedadesService, etc.)</t>
  </si>
  <si>
    <t>Infraestructura</t>
  </si>
  <si>
    <t>Persistencia, caché, almacenamiento, emails</t>
  </si>
  <si>
    <t>PrismaService, RedisService, StorageService, EmailService</t>
  </si>
  <si>
    <t>Dominio compartido</t>
  </si>
  <si>
    <t>Tipos, enums e interfaces comunes</t>
  </si>
  <si>
    <t>Paquete @gestpro/shared (TypeScript puro)</t>
  </si>
  <si>
    <t>Patrón</t>
  </si>
  <si>
    <t>Uso concreto en el sistema</t>
  </si>
  <si>
    <t>Módulos NestJS</t>
  </si>
  <si>
    <t>Cada dominio de negocio es un módulo autocontenido con su propio Controller, Service y DTOs</t>
  </si>
  <si>
    <t>Multitenancy con RLS</t>
  </si>
  <si>
    <t>Aislamiento de datos a nivel de base de datos mediante PostgreSQL Row-Level Security; TenantMiddleware inyecta el tenant_id en cada request</t>
  </si>
  <si>
    <t>RBAC jerárquico</t>
  </si>
  <si>
    <t>RolesGuard + VisibilityGuard controlan acceso y visibilidad según la jerarquía SUPER_ADMIN → ADMIN → SENIOR → JUNIOR</t>
  </si>
  <si>
    <t>Máquinas de estado</t>
  </si>
  <si>
    <t>TRANSICIONES_VALIDAS en PipelineService y PropiedadesService garantizan transiciones de estado válidas a nivel de código</t>
  </si>
  <si>
    <t>Procesamiento asíncrono (Event-Driven)</t>
  </si>
  <si>
    <t>BullMQ + Redis desacopla operaciones lentas (generación de PDFs, publicaciones en redes) del ciclo request-response</t>
  </si>
  <si>
    <t>CQRS ligero</t>
  </si>
  <si>
    <t>Separación implícita entre operaciones de lectura (consultas Prisma con vistas materializadas para BI) y escritura (transacciones atómicas con $transaction)</t>
  </si>
  <si>
    <t>Auditoría inmutable</t>
  </si>
  <si>
    <t>AuditInterceptor registra automáticamente todas las mutaciones; el rol de BD gestpro_app tiene revocado UPDATE/DELETE sobre audit_logs</t>
  </si>
  <si>
    <t>ISR (Incremental Static Regeneration)</t>
  </si>
  <si>
    <t>El portal Next.js revalida el catálogo cada 60 s y el detalle cada 120 s, combinando rendimiento estático con datos frescos</t>
  </si>
  <si>
    <t>Tecnología</t>
  </si>
  <si>
    <t>Versión</t>
  </si>
  <si>
    <t>Licencia</t>
  </si>
  <si>
    <t>Rol</t>
  </si>
  <si>
    <t>React</t>
  </si>
  <si>
    <t>19.2.5</t>
  </si>
  <si>
    <t>MIT</t>
  </si>
  <si>
    <t>Librería de UI</t>
  </si>
  <si>
    <t>Vite</t>
  </si>
  <si>
    <t>8.0.9</t>
  </si>
  <si>
    <t>Bundler y dev server</t>
  </si>
  <si>
    <t>TypeScript</t>
  </si>
  <si>
    <t>6.0.2</t>
  </si>
  <si>
    <t>Apache-2.0</t>
  </si>
  <si>
    <t>Tipado estático</t>
  </si>
  <si>
    <t>TanStack Query</t>
  </si>
  <si>
    <t>5.99.2</t>
  </si>
  <si>
    <t>Server-state y caché de datos</t>
  </si>
  <si>
    <t>Zustand</t>
  </si>
  <si>
    <t>5.0.12</t>
  </si>
  <si>
    <t>Estado global del cliente</t>
  </si>
  <si>
    <t>React Router DOM</t>
  </si>
  <si>
    <t>7.14.2</t>
  </si>
  <si>
    <t>Enrutamiento SPA</t>
  </si>
  <si>
    <t>Mapbox GL JS</t>
  </si>
  <si>
    <t>3.23.0</t>
  </si>
  <si>
    <t>Mapbox ToS</t>
  </si>
  <si>
    <t>Mapas y geolocalización</t>
  </si>
  <si>
    <t>dnd-kit</t>
  </si>
  <si>
    <t>6.3.1</t>
  </si>
  <si>
    <t>Drag-and-drop (Kanban)</t>
  </si>
  <si>
    <t>Next.js</t>
  </si>
  <si>
    <t>14.2.29</t>
  </si>
  <si>
    <t>Framework SSR/ISR</t>
  </si>
  <si>
    <t>18.x</t>
  </si>
  <si>
    <t>5.x</t>
  </si>
  <si>
    <t>React Native</t>
  </si>
  <si>
    <t>0.81.5</t>
  </si>
  <si>
    <t>Framework móvil cross-platform</t>
  </si>
  <si>
    <t>Expo</t>
  </si>
  <si>
    <t>54.0.0</t>
  </si>
  <si>
    <t>Toolchain y SDK nativo</t>
  </si>
  <si>
    <t>Expo Router</t>
  </si>
  <si>
    <t>6.0.23</t>
  </si>
  <si>
    <t>Enrutamiento basado en archivos</t>
  </si>
  <si>
    <t>Expo Notifications</t>
  </si>
  <si>
    <t>0.32.17</t>
  </si>
  <si>
    <t>Push notifications</t>
  </si>
  <si>
    <t>5.0.0</t>
  </si>
  <si>
    <t>Estado global</t>
  </si>
  <si>
    <t>NestJS</t>
  </si>
  <si>
    <t>11.0.1</t>
  </si>
  <si>
    <t>Framework backend (DI, módulos, guards)</t>
  </si>
  <si>
    <t>Prisma ORM</t>
  </si>
  <si>
    <t>7.8.0</t>
  </si>
  <si>
    <t>ORM y migraciones</t>
  </si>
  <si>
    <t>BullMQ</t>
  </si>
  <si>
    <t>5.76.5</t>
  </si>
  <si>
    <t>Colas de trabajo asíncronas</t>
  </si>
  <si>
    <t>Passport JWT</t>
  </si>
  <si>
    <t>4.0.1</t>
  </si>
  <si>
    <t>Autenticación JWT</t>
  </si>
  <si>
    <t>bcrypt</t>
  </si>
  <si>
    <t>6.0.0</t>
  </si>
  <si>
    <t>Hash de contraseñas</t>
  </si>
  <si>
    <t>otplib</t>
  </si>
  <si>
    <t>13.4.0</t>
  </si>
  <si>
    <t>TOTP (2FA)</t>
  </si>
  <si>
    <t>PDFKit</t>
  </si>
  <si>
    <t>0.18.0</t>
  </si>
  <si>
    <t>Generación de brochures PDF</t>
  </si>
  <si>
    <t>sharp</t>
  </si>
  <si>
    <t>0.34.5</t>
  </si>
  <si>
    <t>Procesamiento y compresión de imágenes</t>
  </si>
  <si>
    <t>6.12.2</t>
  </si>
  <si>
    <t>Envío transaccional de emails</t>
  </si>
  <si>
    <t>AWS SDK S3</t>
  </si>
  <si>
    <t>3.1040.0</t>
  </si>
  <si>
    <t>Cliente para Cloudflare R2</t>
  </si>
  <si>
    <t>PostgreSQL</t>
  </si>
  <si>
    <t>PostgreSQL License</t>
  </si>
  <si>
    <t>Base de datos principal con RLS</t>
  </si>
  <si>
    <t>Redis</t>
  </si>
  <si>
    <t>BSD-3-Clause</t>
  </si>
  <si>
    <t>Caché BI + colas BullMQ</t>
  </si>
  <si>
    <t>Cloudflare R2</t>
  </si>
  <si>
    <t>Propietario (free tier)</t>
  </si>
  <si>
    <t>Almacenamiento de objetos (imágenes, PDFs)</t>
  </si>
  <si>
    <t>Criterio</t>
  </si>
  <si>
    <t>NestJS ✅</t>
  </si>
  <si>
    <t>Express puro</t>
  </si>
  <si>
    <t>Fastify</t>
  </si>
  <si>
    <t>Hapi</t>
  </si>
  <si>
    <t>Estructura modular out-of-the-box</t>
  </si>
  <si>
    <t>Parcial</t>
  </si>
  <si>
    <t>Inyección de dependencias nativa</t>
  </si>
  <si>
    <t>Soporte TypeScript first-class</t>
  </si>
  <si>
    <t>Decoradores para guards/interceptors</t>
  </si>
  <si>
    <t>Ecosistema (Swagger, BullMQ, Passport)</t>
  </si>
  <si>
    <t>Manual</t>
  </si>
  <si>
    <t>Limitado</t>
  </si>
  <si>
    <t>Curva de aprendizaje</t>
  </si>
  <si>
    <t>Media</t>
  </si>
  <si>
    <t>Baja</t>
  </si>
  <si>
    <t>Alta</t>
  </si>
  <si>
    <t>React + Vite ✅</t>
  </si>
  <si>
    <t>Angular</t>
  </si>
  <si>
    <t>Vue 3</t>
  </si>
  <si>
    <t>SvelteKit</t>
  </si>
  <si>
    <t>Ecosistema y comunidad</t>
  </si>
  <si>
    <t>✅ Enorme</t>
  </si>
  <si>
    <t>✅ Grande</t>
  </si>
  <si>
    <t>❌ Menor</t>
  </si>
  <si>
    <t>Rendimiento dev server</t>
  </si>
  <si>
    <t>✅ Vite HMR</t>
  </si>
  <si>
    <t>❌ Lento</t>
  </si>
  <si>
    <t>Librerías UI disponibles</t>
  </si>
  <si>
    <t>✅ Amplio</t>
  </si>
  <si>
    <t>SEO (SPA)</t>
  </si>
  <si>
    <t>❌ No aplica (CRM interno)</t>
  </si>
  <si>
    <t>Next.js 14 SSR ✅</t>
  </si>
  <si>
    <t>Gatsby</t>
  </si>
  <si>
    <t>Remix</t>
  </si>
  <si>
    <t>Astro</t>
  </si>
  <si>
    <t>SSR + ISR nativo</t>
  </si>
  <si>
    <t>App Router (RSC)</t>
  </si>
  <si>
    <t>SEO out-of-the-box</t>
  </si>
  <si>
    <t>Reutilizar componentes React</t>
  </si>
  <si>
    <t>Ecosistema y soporte Vercel</t>
  </si>
  <si>
    <t>PostgreSQL 16 ✅</t>
  </si>
  <si>
    <t>MySQL 8</t>
  </si>
  <si>
    <t>MongoDB</t>
  </si>
  <si>
    <t>Supabase</t>
  </si>
  <si>
    <t>Row-Level Security nativa</t>
  </si>
  <si>
    <t>✅ (usa PG)</t>
  </si>
  <si>
    <t>Transacciones ACID</t>
  </si>
  <si>
    <t>PostGIS (geolocalización)</t>
  </si>
  <si>
    <t>Soporte JSON + relacional</t>
  </si>
  <si>
    <t>Open Source / sin vendor lock-in</t>
  </si>
  <si>
    <t>Fase / Actividad</t>
  </si>
  <si>
    <t>HUs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</si>
  <si>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</si>
  <si>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</si>
  <si>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</si>
  <si>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</si>
  <si>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</si>
  <si>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</si>
  <si>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</si>
  <si>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</si>
  <si>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</si>
  <si>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</si>
  <si>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</si>
  <si>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</si>
  <si>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</si>
  <si>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</si>
  <si>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</si>
  <si>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F1 — Infraestructura y Seguridad</t>
  </si>
  <si>
    <t>57 SP</t>
  </si>
  <si>
    <t>Scaffolding · BD · Multitenancy · RLS</t>
  </si>
  <si>
    <t>Autenticación · 2FA · Bloqueo progresivo</t>
  </si>
  <si>
    <t>Recuperación de cuenta · Onboarding</t>
  </si>
  <si>
    <t>HU-02.02 · HU-02.03</t>
  </si>
  <si>
    <t>Auditoría inmutable · RBAC · Jerarquía</t>
  </si>
  <si>
    <t>HU-03.01 · HU-04.01</t>
  </si>
  <si>
    <t>F2 — Propiedades, Clientes y Portal</t>
  </si>
  <si>
    <t>52 SP</t>
  </si>
  <si>
    <t>CRUD Propiedades · Multimedia · Mapas</t>
  </si>
  <si>
    <t>HU-05.01 · HU-05.02</t>
  </si>
  <si>
    <t>Propietarios · Expediente legal · Brochure PDF</t>
  </si>
  <si>
    <t>HU-05.03 · HU-05.04</t>
  </si>
  <si>
    <t>Portal SSR · Clientes · Notificaciones in-app</t>
  </si>
  <si>
    <t>HU-06.01 · HU-06.02 · HU-13.01</t>
  </si>
  <si>
    <t>F3 — Embudo, Interacciones y Agenda</t>
  </si>
  <si>
    <t>Embudo de ventas · Vista Kanban · Comisiones</t>
  </si>
  <si>
    <t>HU-07.01 · HU-07.02</t>
  </si>
  <si>
    <t>Interacciones · Tracking email · Búsqueda global</t>
  </si>
  <si>
    <t>HU-08.01 · HU-08.02 · HU-13.02</t>
  </si>
  <si>
    <t>Agenda · Visitas · Importación masiva CSV</t>
  </si>
  <si>
    <t>HU-09.01 · HU-09.02 · HU-13.03</t>
  </si>
  <si>
    <t>F4 — Marketing, BI y Automatización</t>
  </si>
  <si>
    <t>40 SP</t>
  </si>
  <si>
    <t>Redes sociales · Chatbot captación de leads</t>
  </si>
  <si>
    <t>HU-10.01 · HU-10.02 · HU-10.03</t>
  </si>
  <si>
    <t>Dashboards BI · Reportes exportables · Ranking</t>
  </si>
  <si>
    <t>HU-11.01 · HU-11.02 · HU-11.03</t>
  </si>
  <si>
    <t>Optimización · UX · Accesibilidad · Docs API</t>
  </si>
  <si>
    <t>F5 — Integraciones, App Móvil y Go-Live</t>
  </si>
  <si>
    <t>21+ SP</t>
  </si>
  <si>
    <t>Sindicación portales · Firma digital · Zoom</t>
  </si>
  <si>
    <t>HU-12.01 · HU-12.02</t>
  </si>
  <si>
    <t>App Móvil (React Native · Expo) · Push</t>
  </si>
  <si>
    <t>Migración de datos · Deploy prod · Capacitación</t>
  </si>
  <si>
    <t>CI/CD · Tests · Monitoreo (continuo)</t>
  </si>
  <si>
    <t>Analisis</t>
  </si>
  <si>
    <t>S16</t>
  </si>
  <si>
    <t>QA integral · Pruebas de carga · UAT</t>
  </si>
  <si>
    <t>Perfil: 1 tenant · 1–5 agentes · hasta 100 propiedades · tráfico bajo.</t>
  </si>
  <si>
    <t xml:space="preserve"> </t>
  </si>
  <si>
    <t>Recurso</t>
  </si>
  <si>
    <t>Especificación mínima</t>
  </si>
  <si>
    <t>CPU</t>
  </si>
  <si>
    <t>2 vCPU (x86-64 o ARM64)</t>
  </si>
  <si>
    <t>RAM</t>
  </si>
  <si>
    <t>4 GB</t>
  </si>
  <si>
    <t>Disco</t>
  </si>
  <si>
    <t>40 GB SSD</t>
  </si>
  <si>
    <t>Ancho de banda</t>
  </si>
  <si>
    <t>100 Mbps</t>
  </si>
  <si>
    <t>Sistema operativo</t>
  </si>
  <si>
    <t>Ubuntu 22.04 LTS o Debian 12</t>
  </si>
  <si>
    <t>Docker Engine</t>
  </si>
  <si>
    <t>26+</t>
  </si>
  <si>
    <t>Docker Compose</t>
  </si>
  <si>
    <t>v2</t>
  </si>
  <si>
    <t>16 (contenedor Alpine)</t>
  </si>
  <si>
    <t>7 (contenedor Alpine, maxmemory 256mb)</t>
  </si>
  <si>
    <t>Node.js (API)</t>
  </si>
  <si>
    <t>20 LTS</t>
  </si>
  <si>
    <t>Especificación recomendada</t>
  </si>
  <si>
    <t>4 vCPU (x86-64)</t>
  </si>
  <si>
    <t>8 GB</t>
  </si>
  <si>
    <t>Disco OS</t>
  </si>
  <si>
    <t>40 GB SSD (sistema + Docker)</t>
  </si>
  <si>
    <t>Disco datos</t>
  </si>
  <si>
    <t>100 GB SSD NVMe (volúmenes pgdata + uploads en disco separado)</t>
  </si>
  <si>
    <t>500 Mbps</t>
  </si>
  <si>
    <t>Ubuntu 22.04 LTS</t>
  </si>
  <si>
    <t>16 — shared_buffers 2 GB</t>
  </si>
  <si>
    <t>7 — maxmemory 512mb</t>
  </si>
  <si>
    <t>Backups</t>
  </si>
  <si>
    <t>Snapshot diario; retención mínima 30 días</t>
  </si>
  <si>
    <t>Monitoreo</t>
  </si>
  <si>
    <t>Sentry DSN + Uptime check (recomendado UptimeRobot)</t>
  </si>
  <si>
    <t>Modo de Fallo</t>
  </si>
  <si>
    <t>Efecto</t>
  </si>
  <si>
    <t>Prob.</t>
  </si>
  <si>
    <t>Impacto</t>
  </si>
  <si>
    <t>Plan de Mitigación</t>
  </si>
  <si>
    <t>Caída del servidor PostgreSQL</t>
  </si>
  <si>
    <t>Sistema completamente inoperativo</t>
  </si>
  <si>
    <t>Media (2)</t>
  </si>
  <si>
    <t>Alto (3)</t>
  </si>
  <si>
    <t>Backups diarios automatizados; réplica de lectura en producción; health check Docker (pg_isready); alertas Uptime Robot</t>
  </si>
  <si>
    <t>Redis no disponible</t>
  </si>
  <si>
    <t>Cola BullMQ detenida; caché BI perdida</t>
  </si>
  <si>
    <t>Medio (2)</t>
  </si>
  <si>
    <t>maxmemory-policy allkeys-lru evita OOM; servicios degradan gracefully sin caché; health check en docker-compose.prod.yml</t>
  </si>
  <si>
    <t>Disco lleno en servidor on-premise</t>
  </si>
  <si>
    <t>Corrupción de BD o fallo en uploads</t>
  </si>
  <si>
    <t>Alertas de uso de disco al 80 %; volumen de datos separado del SO; cálculo de crecimiento documentado (§2.4); rotación de backups</t>
  </si>
  <si>
    <t>Fallo en Cloudflare R2 / almacenamiento externo</t>
  </si>
  <si>
    <t>Imágenes y PDFs inaccesibles</t>
  </si>
  <si>
    <t>Baja (1)</t>
  </si>
  <si>
    <t>StorageService con fallback a disco local; SLA 99.9 % de R2; URLs almacenadas en BD permiten migración de backend</t>
  </si>
  <si>
    <t>Agotamiento de memoria en NestJS (memory leak)</t>
  </si>
  <si>
    <t>API no responde; workers BullMQ muertos</t>
  </si>
  <si>
    <t>restart: unless-stopped en Docker; monitoreo Sentry con alertas de memoria; pruebas de carga con k6 (infra/k6/)</t>
  </si>
  <si>
    <t>R-01</t>
  </si>
  <si>
    <t>R-02</t>
  </si>
  <si>
    <t>R-03</t>
  </si>
  <si>
    <t>R-04</t>
  </si>
  <si>
    <t>R-05</t>
  </si>
  <si>
    <t>Dedicación</t>
  </si>
  <si>
    <t>Semanas</t>
  </si>
  <si>
    <t>Total horas</t>
  </si>
  <si>
    <t>Tarifa / hora (USD)</t>
  </si>
  <si>
    <t>Costo total (USD)</t>
  </si>
  <si>
    <t>Supervisor / Arquitecto</t>
  </si>
  <si>
    <t>20 h/sem</t>
  </si>
  <si>
    <t>340 h</t>
  </si>
  <si>
    <t>$25</t>
  </si>
  <si>
    <t>$8 500</t>
  </si>
  <si>
    <t>Desarrollador Full-Stack</t>
  </si>
  <si>
    <t>40 h/sem</t>
  </si>
  <si>
    <t>680 h</t>
  </si>
  <si>
    <t>$15</t>
  </si>
  <si>
    <t>$10 200</t>
  </si>
  <si>
    <t>Subtotal</t>
  </si>
  <si>
    <t>1 020 h</t>
  </si>
  <si>
    <t>$18 700</t>
  </si>
  <si>
    <t>Contingencia (10 %)</t>
  </si>
  <si>
    <t>$1 870</t>
  </si>
  <si>
    <t>Total estimado</t>
  </si>
  <si>
    <t>$20 570</t>
  </si>
  <si>
    <t>Servicio GCP</t>
  </si>
  <si>
    <t>Producto</t>
  </si>
  <si>
    <t>Specs</t>
  </si>
  <si>
    <t>Costo aprox./mes</t>
  </si>
  <si>
    <t>Compute Engine</t>
  </si>
  <si>
    <t>e2-standard-2</t>
  </si>
  <si>
    <t>2 vCPU / 8 GB RAM</t>
  </si>
  <si>
    <t>~$49</t>
  </si>
  <si>
    <t>Persistent Disk</t>
  </si>
  <si>
    <t>SSD Boot</t>
  </si>
  <si>
    <t>40 GB</t>
  </si>
  <si>
    <t>~$7</t>
  </si>
  <si>
    <t>SSD Datos</t>
  </si>
  <si>
    <t>100 GB (volumen separado)</t>
  </si>
  <si>
    <t>~$17</t>
  </si>
  <si>
    <t>Cloud SQL for PostgreSQL</t>
  </si>
  <si>
    <t>db-g1-small</t>
  </si>
  <si>
    <t>1 vCPU / 1.7 GB</t>
  </si>
  <si>
    <t>~$26</t>
  </si>
  <si>
    <t>Memorystore for Redis</t>
  </si>
  <si>
    <t>Basic 1 GB</t>
  </si>
  <si>
    <t>Instancia regional</t>
  </si>
  <si>
    <t>~$35</t>
  </si>
  <si>
    <t>Cloud Storage</t>
  </si>
  <si>
    <t>100 GB (uploads + backups)</t>
  </si>
  <si>
    <t>~$2</t>
  </si>
  <si>
    <t>Cloud Armor (WAF básico)</t>
  </si>
  <si>
    <t>Pay-as-you-go</t>
  </si>
  <si>
    <t>Cloud CDN + Networking</t>
  </si>
  <si>
    <t>Egress 30 GB/mes</t>
  </si>
  <si>
    <t>~$3</t>
  </si>
  <si>
    <t>Total estimado recomendado</t>
  </si>
  <si>
    <t>~$144/mes</t>
  </si>
  <si>
    <t>Rubro</t>
  </si>
  <si>
    <t>Año 1</t>
  </si>
  <si>
    <t>Año 2</t>
  </si>
  <si>
    <t>Año 3</t>
  </si>
  <si>
    <t>Año 4</t>
  </si>
  <si>
    <t>Año 5</t>
  </si>
  <si>
    <t>Desarrollador de soporte (3 h/sem · 156 h/año · $15/h)</t>
  </si>
  <si>
    <t>$2 340</t>
  </si>
  <si>
    <t>Infraestructura (VPS Hetzner + dominio SSL)</t>
  </si>
  <si>
    <t>$130</t>
  </si>
  <si>
    <t>$220</t>
  </si>
  <si>
    <t>$400</t>
  </si>
  <si>
    <t>Servicios de terceros (Resend, Mapbox, Sentry)</t>
  </si>
  <si>
    <t>$300</t>
  </si>
  <si>
    <t>$600</t>
  </si>
  <si>
    <t>$720</t>
  </si>
  <si>
    <t>$1 200</t>
  </si>
  <si>
    <t>Actualizaciones de seguridad / dependencias</t>
  </si>
  <si>
    <t>$500</t>
  </si>
  <si>
    <t>$327</t>
  </si>
  <si>
    <t>$337</t>
  </si>
  <si>
    <t>$358</t>
  </si>
  <si>
    <t>$406</t>
  </si>
  <si>
    <t>$424</t>
  </si>
  <si>
    <t>Total año (USD)</t>
  </si>
  <si>
    <t>$3 597</t>
  </si>
  <si>
    <t>$3 707</t>
  </si>
  <si>
    <t>$3 938</t>
  </si>
  <si>
    <t>$4 466</t>
  </si>
  <si>
    <t>$4 664</t>
  </si>
  <si>
    <t>Total año (GTQ)</t>
  </si>
  <si>
    <t>Q27 697</t>
  </si>
  <si>
    <t>Q28 544</t>
  </si>
  <si>
    <t>Q30 323</t>
  </si>
  <si>
    <t>Q34 388</t>
  </si>
  <si>
    <t>Q35 913</t>
  </si>
  <si>
    <t>Acumulado (USD)</t>
  </si>
  <si>
    <t>$7 304</t>
  </si>
  <si>
    <t>$11 242</t>
  </si>
  <si>
    <t>$15 708</t>
  </si>
  <si>
    <t>$20 372</t>
  </si>
  <si>
    <t>Elemento</t>
  </si>
  <si>
    <t>Detalle</t>
  </si>
  <si>
    <t>Tipo de cobro</t>
  </si>
  <si>
    <t>Suscripción mensual recurrente (MRR)</t>
  </si>
  <si>
    <t>Ciclo de facturación</t>
  </si>
  <si>
    <t>Mensual o anual (descuento 15 % en anual)</t>
  </si>
  <si>
    <t>Moneda</t>
  </si>
  <si>
    <t>Quetzales (GTQ) con equivalencia en USD</t>
  </si>
  <si>
    <t>Método de pago</t>
  </si>
  <si>
    <t>Tarjeta de crédito/débito, transferencia bancaria</t>
  </si>
  <si>
    <t>Prueba gratuita</t>
  </si>
  <si>
    <t>14 días sin tarjeta en plan Profesional</t>
  </si>
  <si>
    <t>Cancelación</t>
  </si>
  <si>
    <t>Sin permanencia mínima; datos exportables al dar de baja</t>
  </si>
  <si>
    <t>Funcionalidad</t>
  </si>
  <si>
    <t>**Free**</t>
  </si>
  <si>
    <t>**Basic**</t>
  </si>
  <si>
    <t>**Pro**</t>
  </si>
  <si>
    <t>**Enterprise**</t>
  </si>
  <si>
    <t>Precio / mes (GTQ)</t>
  </si>
  <si>
    <t>Gratis</t>
  </si>
  <si>
    <t>Q 1 600</t>
  </si>
  <si>
    <t>Precio / mes (USD)</t>
  </si>
  <si>
    <t>$0</t>
  </si>
  <si>
    <t>~$45</t>
  </si>
  <si>
    <t>~$104</t>
  </si>
  <si>
    <t>~$208</t>
  </si>
  <si>
    <t>Precio / año (GTQ) (−15 %)</t>
  </si>
  <si>
    <t>Q 3 570</t>
  </si>
  <si>
    <t>Q 8 160</t>
  </si>
  <si>
    <t>Q 16 320</t>
  </si>
  <si>
    <t>Q 120/c</t>
  </si>
  <si>
    <t>Q 100/c</t>
  </si>
  <si>
    <t>Correo transaccional</t>
  </si>
  <si>
    <t>Campañas de email</t>
  </si>
  <si>
    <t>Portal público</t>
  </si>
  <si>
    <t>Sitio propio (dominio cliente)</t>
  </si>
  <si>
    <t>Brochures PDF automáticos</t>
  </si>
  <si>
    <t>App móvil (iOS + Android)</t>
  </si>
  <si>
    <t>Firma digital (DocuSign)</t>
  </si>
  <si>
    <t>Publicación en redes sociales</t>
  </si>
  <si>
    <t>Chatbot captación de leads</t>
  </si>
  <si>
    <t>Sindicación a portales externos</t>
  </si>
  <si>
    <t>Integraciones (Zoom, DocuSign, Meta)</t>
  </si>
  <si>
    <t>Email</t>
  </si>
  <si>
    <t>Email + Chat</t>
  </si>
  <si>
    <t>Prioritario</t>
  </si>
  <si>
    <t>Canal</t>
  </si>
  <si>
    <t>Táctica</t>
  </si>
  <si>
    <t>Horizonte</t>
  </si>
  <si>
    <t>Prueba gratuita 14 días</t>
  </si>
  <si>
    <t>Onboarding asistido sin tarjeta en plan Profesional; correos de activación automáticos</t>
  </si>
  <si>
    <t>Desde lanzamiento</t>
  </si>
  <si>
    <t>Referidos</t>
  </si>
  <si>
    <t>Descuento del 10 % por mes a clientes que refieran una agencia que convierta</t>
  </si>
  <si>
    <t>Mes 3+</t>
  </si>
  <si>
    <t>Expansión centroamericana</t>
  </si>
  <si>
    <t>Replicar modelo en Honduras/El Salvador con agente local de ventas</t>
  </si>
  <si>
    <t>Año 2–3</t>
  </si>
  <si>
    <t>Plan</t>
  </si>
  <si>
    <t>Precio/mes (USD)</t>
  </si>
  <si>
    <t>Cantidad mínima</t>
  </si>
  <si>
    <t>Ingreso mensual</t>
  </si>
  <si>
    <t>Starter</t>
  </si>
  <si>
    <t>Profesional</t>
  </si>
  <si>
    <t>Empresarial</t>
  </si>
  <si>
    <t>Total</t>
  </si>
  <si>
    <t>~$461</t>
  </si>
  <si>
    <t>Concepto</t>
  </si>
  <si>
    <t>Ingreso anual</t>
  </si>
  <si>
    <t>~$6,900</t>
  </si>
  <si>
    <t>Costo de mantenimiento</t>
  </si>
  <si>
    <t>~$3,597</t>
  </si>
  <si>
    <t>Utilidad operativa neta</t>
  </si>
  <si>
    <t>~$3,303</t>
  </si>
  <si>
    <t>Métrica</t>
  </si>
  <si>
    <t>Clientes Starter ($45/mes)</t>
  </si>
  <si>
    <t>Clientes Profesional ($104/mes)</t>
  </si>
  <si>
    <t>Clientes Empresarial ($208/mes)</t>
  </si>
  <si>
    <t>Total clientes</t>
  </si>
  <si>
    <t>MRR (USD)</t>
  </si>
  <si>
    <t>~$655</t>
  </si>
  <si>
    <t>~$1,726</t>
  </si>
  <si>
    <t>~$3,050</t>
  </si>
  <si>
    <t>~$4,464</t>
  </si>
  <si>
    <t>~$5,892</t>
  </si>
  <si>
    <t>Ingreso anual (USD)</t>
  </si>
  <si>
    <t>~$7,860</t>
  </si>
  <si>
    <t>~$20,712</t>
  </si>
  <si>
    <t>~$36,600</t>
  </si>
  <si>
    <t>~$53,568</t>
  </si>
  <si>
    <t>~$70,704</t>
  </si>
  <si>
    <t>$3,597</t>
  </si>
  <si>
    <t>$3,707</t>
  </si>
  <si>
    <t>$3,938</t>
  </si>
  <si>
    <t>$4,466</t>
  </si>
  <si>
    <t>$4,664</t>
  </si>
  <si>
    <t>Utilidad operativa</t>
  </si>
  <si>
    <t>~$4,263</t>
  </si>
  <si>
    <t>~$17,005</t>
  </si>
  <si>
    <t>~$32,662</t>
  </si>
  <si>
    <t>~$49,102</t>
  </si>
  <si>
    <t>~$66,040</t>
  </si>
  <si>
    <t>Amortización desarrollo</t>
  </si>
  <si>
    <t>$6,857</t>
  </si>
  <si>
    <t>Utilidad neta</t>
  </si>
  <si>
    <t>−$2,594</t>
  </si>
  <si>
    <t>~$10,148</t>
  </si>
  <si>
    <t>~$25,805</t>
  </si>
  <si>
    <t>Utilidad acumulada</t>
  </si>
  <si>
    <t>~$7,554</t>
  </si>
  <si>
    <t>~$33,359</t>
  </si>
  <si>
    <t>~$82,461</t>
  </si>
  <si>
    <t>~$148,501</t>
  </si>
  <si>
    <t>Costo/mes</t>
  </si>
  <si>
    <t>vs Mínimo</t>
  </si>
  <si>
    <t>e2-standard-4</t>
  </si>
  <si>
    <t>4 vCPU / 16 GB RAM</t>
  </si>
  <si>
    <t>$98</t>
  </si>
  <si>
    <t>+$49</t>
  </si>
  <si>
    <t>Persistent Disk Boot</t>
  </si>
  <si>
    <t>SSD 50 GB</t>
  </si>
  <si>
    <t>$8</t>
  </si>
  <si>
    <t>+$1</t>
  </si>
  <si>
    <t>Persistent Disk Datos</t>
  </si>
  <si>
    <t>SSD 200 GB</t>
  </si>
  <si>
    <t>Volumen separado</t>
  </si>
  <si>
    <t>$34</t>
  </si>
  <si>
    <t>+$17</t>
  </si>
  <si>
    <t>db-n1-standard-2</t>
  </si>
  <si>
    <t>2 vCPU / 7.5 GB</t>
  </si>
  <si>
    <t>$92</t>
  </si>
  <si>
    <t>+$66</t>
  </si>
  <si>
    <t>Basic 2 GB</t>
  </si>
  <si>
    <t>Regional</t>
  </si>
  <si>
    <t>$71</t>
  </si>
  <si>
    <t>+$36</t>
  </si>
  <si>
    <t>Standard 250 GB</t>
  </si>
  <si>
    <t>Uploads + backups</t>
  </si>
  <si>
    <t>$5</t>
  </si>
  <si>
    <t>+$3</t>
  </si>
  <si>
    <t>Cloud Armor WAF</t>
  </si>
  <si>
    <t>Standard tier</t>
  </si>
  <si>
    <t>$10</t>
  </si>
  <si>
    <t>+$5</t>
  </si>
  <si>
    <t>Egress 100 GB/mes</t>
  </si>
  <si>
    <t>Cloud Load Balancing</t>
  </si>
  <si>
    <t>HTTP(S) Global</t>
  </si>
  <si>
    <t>$18</t>
  </si>
  <si>
    <t>+$18</t>
  </si>
  <si>
    <t>Cloud Monitoring</t>
  </si>
  <si>
    <t>Ops Suite básico</t>
  </si>
  <si>
    <t>Logs + alertas</t>
  </si>
  <si>
    <t>+$10</t>
  </si>
  <si>
    <t>Total adecuado</t>
  </si>
  <si>
    <t>$354/mes</t>
  </si>
  <si>
    <t>+$210</t>
  </si>
  <si>
    <t>Tenants (agencias)</t>
  </si>
  <si>
    <t>Agentes concurrentes</t>
  </si>
  <si>
    <t>Tráfico portal/mes</t>
  </si>
  <si>
    <t>Mínima ($144)</t>
  </si>
  <si>
    <t>$144</t>
  </si>
  <si>
    <t>1 – 5</t>
  </si>
  <si>
    <t>hasta 15</t>
  </si>
  <si>
    <t>hasta 300</t>
  </si>
  <si>
    <t>Óptima ($354)</t>
  </si>
  <si>
    <t>$354</t>
  </si>
  <si>
    <t>5 – 20</t>
  </si>
  <si>
    <t>hasta 60</t>
  </si>
  <si>
    <t>hasta 2 000</t>
  </si>
  <si>
    <t>5 000 visitas</t>
  </si>
  <si>
    <t>30 000 visitas</t>
  </si>
  <si>
    <t>Especificación referencial</t>
  </si>
  <si>
    <t>Costo (USD)</t>
  </si>
  <si>
    <t>Observación</t>
  </si>
  <si>
    <t>Laptop desarrollador</t>
  </si>
  <si>
    <t>16 GB RAM · SSD 512 GB · CPU 8+ cores (Dell Inspiron 15 / Lenovo IdeaPad / MacBook Air M2)</t>
  </si>
  <si>
    <t>$900</t>
  </si>
  <si>
    <t>Monitor externo 24"</t>
  </si>
  <si>
    <t>FHD IPS, para trabajo en pantalla dual</t>
  </si>
  <si>
    <t>UPS / regulador de voltaje</t>
  </si>
  <si>
    <t>APC Back-UPS 600 VA o similar</t>
  </si>
  <si>
    <t>$60</t>
  </si>
  <si>
    <t>Mouse + teclado</t>
  </si>
  <si>
    <t>Periféricos básicos</t>
  </si>
  <si>
    <t>$30</t>
  </si>
  <si>
    <t>Subtotal hardware</t>
  </si>
  <si>
    <t>$1 120</t>
  </si>
  <si>
    <t>Duración</t>
  </si>
  <si>
    <t>GitHub Teams</t>
  </si>
  <si>
    <t>$4/usuario/mes × 2 usuarios</t>
  </si>
  <si>
    <t>4 meses</t>
  </si>
  <si>
    <t>$32</t>
  </si>
  <si>
    <t>CI/CD + repos privados; free tier disponible para equipos pequeños</t>
  </si>
  <si>
    <t>Figma (diseño UI/UX)</t>
  </si>
  <si>
    <t>Professional $12/mes × 1 usuario</t>
  </si>
  <si>
    <t>$48</t>
  </si>
  <si>
    <t>Opcional; el plan gratuito cubre la fase de wireframes</t>
  </si>
  <si>
    <t>Zoom Pro</t>
  </si>
  <si>
    <t>$15/mes × 1 cuenta</t>
  </si>
  <si>
    <t>Para reuniones con el cliente; la versión gratuita limita a 40 min</t>
  </si>
  <si>
    <t>Dominio (.com o .gt)</t>
  </si>
  <si>
    <t>Registro anual (GoDaddy / Namecheap)</t>
  </si>
  <si>
    <t>1 año</t>
  </si>
  <si>
    <t>gestpro.com o gestpro.gt; necesario desde el inicio</t>
  </si>
  <si>
    <t>Subtotal herramientas</t>
  </si>
  <si>
    <t>$155</t>
  </si>
  <si>
    <t>Categoría</t>
  </si>
  <si>
    <t>Herramientas y suscripciones</t>
  </si>
  <si>
    <t>Infraestructura staging</t>
  </si>
  <si>
    <t>Hardware de trabajo</t>
  </si>
  <si>
    <t>Total con hardware</t>
  </si>
  <si>
    <t>$21 905</t>
  </si>
  <si>
    <t>Recurso humano</t>
  </si>
  <si>
    <t>Producto GCP</t>
  </si>
  <si>
    <t>Servidor staging</t>
  </si>
  <si>
    <t>e2-micro + 20 GB SSD</t>
  </si>
  <si>
    <t>$20</t>
  </si>
  <si>
    <t>Cloud SQL staging</t>
  </si>
  <si>
    <t>db-f1-micro PostgreSQL</t>
  </si>
  <si>
    <t>$40</t>
  </si>
  <si>
    <t>Redis staging</t>
  </si>
  <si>
    <t>Upstash free tier</t>
  </si>
  <si>
    <t>Subtotal infraestructura staging</t>
  </si>
  <si>
    <t>| Rubro | Año 1 | Año 2 | Año 3 | Año 4 | Año 5 |</t>
  </si>
  <si>
    <t>|:------|------:|------:|------:|------:|------:|</t>
  </si>
  <si>
    <t>| Desarrollador de soporte (10 h/sem · 520 h/año · $15/h) | $7 800 | $7 800 | $7 800 | $7 800 | $7 800 |</t>
  </si>
  <si>
    <t>| Infraestructura (VPS Hetzner + dominio SSL) | $130 | $130 | $220 | $220 | $400 |</t>
  </si>
  <si>
    <t>| Servicios de terceros (Resend, Mapbox, Sentry) | $300 | $600 | $720 | $1 200 | $1 200 |</t>
  </si>
  <si>
    <t>| Actualizaciones de seguridad / dependencias | $500 | $300 | $300 | $300 | $300 |</t>
  </si>
  <si>
    <t>| Contingencia (10 %) | $873 | $883 | $904 | $952 | $970 |</t>
  </si>
  <si>
    <t>| **Total año (USD)** | **$9 603** | **$9 713** | **$9 944** | **$10 472** | **$10 670** |</t>
  </si>
  <si>
    <t>| **Acumulado (USD)** | $9 603 | $19 316 | $29 260 | $39 732 | **$50 402** |</t>
  </si>
  <si>
    <t>Desarrollador de soporte (10 h/sem · 520 h/año · $15/h)</t>
  </si>
  <si>
    <t>$7 800</t>
  </si>
  <si>
    <t>$873</t>
  </si>
  <si>
    <t>$883</t>
  </si>
  <si>
    <t>$904</t>
  </si>
  <si>
    <t>$952</t>
  </si>
  <si>
    <t>$970</t>
  </si>
  <si>
    <t>$9 603</t>
  </si>
  <si>
    <t>$9 713</t>
  </si>
  <si>
    <t>$9 944</t>
  </si>
  <si>
    <t>$10 472</t>
  </si>
  <si>
    <t>$10 670</t>
  </si>
  <si>
    <t>$19 316</t>
  </si>
  <si>
    <t>$29 260</t>
  </si>
  <si>
    <t>$39 732</t>
  </si>
  <si>
    <t>$50 402</t>
  </si>
  <si>
    <t>Año 0</t>
  </si>
  <si>
    <t>Inversión inicial (desarrollo)</t>
  </si>
  <si>
    <t>−$20,570</t>
  </si>
  <si>
    <t>Ingresos anuales</t>
  </si>
  <si>
    <t>$7,860</t>
  </si>
  <si>
    <t>$20,712</t>
  </si>
  <si>
    <t>$36,600</t>
  </si>
  <si>
    <t>$53,568</t>
  </si>
  <si>
    <t>$70,704</t>
  </si>
  <si>
    <t>Costos de mantenimiento (§2.7)</t>
  </si>
  <si>
    <t>$9,603</t>
  </si>
  <si>
    <t>$9,713</t>
  </si>
  <si>
    <t>$9,944</t>
  </si>
  <si>
    <t>$10,472</t>
  </si>
  <si>
    <t>$10,670</t>
  </si>
  <si>
    <t>Flujo neto del período</t>
  </si>
  <si>
    <t>−$1,743</t>
  </si>
  <si>
    <t>+$10,999</t>
  </si>
  <si>
    <t>+$26,656</t>
  </si>
  <si>
    <t>+$43,096</t>
  </si>
  <si>
    <t>+$60,034</t>
  </si>
  <si>
    <t>Flujo acumulado</t>
  </si>
  <si>
    <t>−$22,313</t>
  </si>
  <si>
    <t>−$11,314</t>
  </si>
  <si>
    <t>+$15,342 ✅</t>
  </si>
  <si>
    <t>+$58,438</t>
  </si>
  <si>
    <t>+$118,472</t>
  </si>
  <si>
    <t>Starter (~$45/mes)</t>
  </si>
  <si>
    <t>$45</t>
  </si>
  <si>
    <t>Profesional (~$104/mes)</t>
  </si>
  <si>
    <t>$104</t>
  </si>
  <si>
    <t>Empresarial (~$208/mes)</t>
  </si>
  <si>
    <t>$208</t>
  </si>
  <si>
    <t>Starter (aporte mensual)</t>
  </si>
  <si>
    <t>$135</t>
  </si>
  <si>
    <t>$270</t>
  </si>
  <si>
    <t>$450</t>
  </si>
  <si>
    <t>Profesional (aporte mensual)</t>
  </si>
  <si>
    <t>$312</t>
  </si>
  <si>
    <t>$832</t>
  </si>
  <si>
    <t>$1,560</t>
  </si>
  <si>
    <t>$2,080</t>
  </si>
  <si>
    <t>$2,912</t>
  </si>
  <si>
    <t>Empresarial (aporte mensual)</t>
  </si>
  <si>
    <t>$624</t>
  </si>
  <si>
    <t>$1,040</t>
  </si>
  <si>
    <t>$1,664</t>
  </si>
  <si>
    <t>MRR total</t>
  </si>
  <si>
    <t>$655</t>
  </si>
  <si>
    <t>$1,726</t>
  </si>
  <si>
    <t>$3,050</t>
  </si>
  <si>
    <t>$4,464</t>
  </si>
  <si>
    <t>$5,892</t>
  </si>
  <si>
    <t>Ingreso anual (MRR × 12)</t>
  </si>
  <si>
    <t>AÑO 1</t>
  </si>
  <si>
    <t>AÑO 2</t>
  </si>
  <si>
    <t>AÑO 3</t>
  </si>
  <si>
    <t>AÑO 4</t>
  </si>
  <si>
    <t>AÑO 5</t>
  </si>
  <si>
    <t>AÑO 0</t>
  </si>
  <si>
    <t>Gratuito</t>
  </si>
  <si>
    <t>* 1 agentes</t>
  </si>
  <si>
    <t>* 5 Propiedades</t>
  </si>
  <si>
    <t>* Portal Público</t>
  </si>
  <si>
    <t>* 3 agentes</t>
  </si>
  <si>
    <t>* 25 Propiedades</t>
  </si>
  <si>
    <t>* 5 agentes</t>
  </si>
  <si>
    <t>* 100 Propiedades</t>
  </si>
  <si>
    <t>* 25 agentes</t>
  </si>
  <si>
    <t>* 500 Propiedades</t>
  </si>
  <si>
    <t>* Brochures Pdf</t>
  </si>
  <si>
    <t>* App Movil</t>
  </si>
  <si>
    <t>* Func. del plan Profesional</t>
  </si>
  <si>
    <t>* Plataformas Externas</t>
  </si>
  <si>
    <t>Costo Inicial</t>
  </si>
  <si>
    <t>Costo Soporte Anual</t>
  </si>
  <si>
    <t>Costos Mant. Anual</t>
  </si>
  <si>
    <t>Año</t>
  </si>
  <si>
    <t>Costos</t>
  </si>
  <si>
    <t>Ingresos</t>
  </si>
  <si>
    <t>Costos Acomulados</t>
  </si>
  <si>
    <t>Ingresos Acumulados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</si>
</sst>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Q&quot;#,##0;[Red]\-&quot;Q&quot;#,##0"/>
  </numFmts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theme="0"/>
      <name val="Times New Roman"/>
      <family val="1"/>
    </font>
    <font>
      <sz val="14"/>
      <color theme="1"/>
      <name val="Calibri"/>
      <family val="2"/>
      <scheme val="minor"/>
    </font>
    <font>
      <b/>
      <sz val="14"/>
      <color rgb="FF00206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-0.49998474074526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rgb="FF002060"/>
      </left>
      <right/>
      <top style="thin">
        <color rgb="FF002060"/>
      </top>
      <bottom/>
      <diagonal/>
    </border>
    <border>
      <left/>
      <right/>
      <top style="thin">
        <color rgb="FF002060"/>
      </top>
      <bottom/>
      <diagonal/>
    </border>
    <border>
      <left/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/>
      <top/>
      <bottom/>
      <diagonal/>
    </border>
    <border>
      <left/>
      <right style="thin">
        <color rgb="FF002060"/>
      </right>
      <top/>
      <bottom/>
      <diagonal/>
    </border>
    <border>
      <left style="thin">
        <color rgb="FF002060"/>
      </left>
      <right/>
      <top/>
      <bottom style="thin">
        <color rgb="FF002060"/>
      </bottom>
      <diagonal/>
    </border>
    <border>
      <left/>
      <right/>
      <top/>
      <bottom style="thin">
        <color rgb="FF002060"/>
      </bottom>
      <diagonal/>
    </border>
    <border>
      <left/>
      <right style="thin">
        <color rgb="FF002060"/>
      </right>
      <top/>
      <bottom style="thin">
        <color rgb="FF002060"/>
      </bottom>
      <diagonal/>
    </border>
    <border>
      <left/>
      <right/>
      <top style="medium">
        <color rgb="FF002060"/>
      </top>
      <bottom/>
      <diagonal/>
    </border>
    <border>
      <left/>
      <right/>
      <top/>
      <bottom style="medium">
        <color rgb="FF002060"/>
      </bottom>
      <diagonal/>
    </border>
    <border>
      <left style="medium">
        <color rgb="FF002060"/>
      </left>
      <right/>
      <top style="medium">
        <color rgb="FF002060"/>
      </top>
      <bottom/>
      <diagonal/>
    </border>
    <border>
      <left style="medium">
        <color rgb="FF002060"/>
      </left>
      <right/>
      <top/>
      <bottom/>
      <diagonal/>
    </border>
    <border>
      <left style="medium">
        <color rgb="FF002060"/>
      </left>
      <right/>
      <top/>
      <bottom style="medium">
        <color rgb="FF002060"/>
      </bottom>
      <diagonal/>
    </border>
    <border>
      <left/>
      <right style="medium">
        <color rgb="FF002060"/>
      </right>
      <top style="medium">
        <color rgb="FF002060"/>
      </top>
      <bottom/>
      <diagonal/>
    </border>
    <border>
      <left/>
      <right style="medium">
        <color rgb="FF002060"/>
      </right>
      <top/>
      <bottom/>
      <diagonal/>
    </border>
    <border>
      <left/>
      <right style="medium">
        <color rgb="FF002060"/>
      </right>
      <top/>
      <bottom style="medium">
        <color rgb="FF002060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2" fillId="4" borderId="2" xfId="0" applyFont="1" applyFill="1" applyBorder="1" applyAlignment="1">
      <alignment vertical="center"/>
    </xf>
    <xf numFmtId="0" fontId="2" fillId="4" borderId="3" xfId="0" applyFont="1" applyFill="1" applyBorder="1" applyAlignment="1">
      <alignment vertical="center"/>
    </xf>
    <xf numFmtId="0" fontId="2" fillId="3" borderId="1" xfId="0" applyFont="1" applyFill="1" applyBorder="1" applyAlignment="1">
      <alignment wrapText="1"/>
    </xf>
    <xf numFmtId="0" fontId="2" fillId="5" borderId="1" xfId="0" applyFont="1" applyFill="1" applyBorder="1"/>
    <xf numFmtId="0" fontId="0" fillId="0" borderId="1" xfId="0" applyBorder="1"/>
    <xf numFmtId="0" fontId="2" fillId="0" borderId="1" xfId="0" applyFont="1" applyBorder="1"/>
    <xf numFmtId="0" fontId="1" fillId="2" borderId="1" xfId="0" applyFont="1" applyFill="1" applyBorder="1"/>
    <xf numFmtId="0" fontId="3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3" fillId="2" borderId="0" xfId="0" applyFont="1" applyFill="1"/>
    <xf numFmtId="0" fontId="3" fillId="2" borderId="0" xfId="0" applyFont="1" applyFill="1" applyAlignment="1">
      <alignment wrapText="1"/>
    </xf>
    <xf numFmtId="3" fontId="0" fillId="0" borderId="0" xfId="0" applyNumberFormat="1"/>
    <xf numFmtId="10" fontId="0" fillId="0" borderId="0" xfId="0" applyNumberFormat="1"/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0" fillId="5" borderId="1" xfId="0" applyFill="1" applyBorder="1"/>
    <xf numFmtId="0" fontId="0" fillId="9" borderId="1" xfId="0" applyFill="1" applyBorder="1"/>
    <xf numFmtId="0" fontId="3" fillId="2" borderId="0" xfId="0" applyFont="1" applyFill="1" applyAlignment="1">
      <alignment horizontal="left" vertical="center" wrapText="1"/>
    </xf>
    <xf numFmtId="6" fontId="0" fillId="0" borderId="0" xfId="0" applyNumberFormat="1"/>
    <xf numFmtId="0" fontId="5" fillId="0" borderId="6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6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2" borderId="6" xfId="0" applyFont="1" applyFill="1" applyBorder="1" applyAlignment="1">
      <alignment vertical="center" wrapText="1"/>
    </xf>
    <xf numFmtId="0" fontId="7" fillId="2" borderId="7" xfId="0" applyFont="1" applyFill="1" applyBorder="1" applyAlignment="1">
      <alignment vertical="center" wrapText="1"/>
    </xf>
    <xf numFmtId="0" fontId="0" fillId="0" borderId="0" xfId="0" applyAlignment="1">
      <alignment horizontal="right"/>
    </xf>
    <xf numFmtId="0" fontId="1" fillId="2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8" borderId="4" xfId="0" applyFont="1" applyFill="1" applyBorder="1" applyAlignment="1">
      <alignment horizontal="center"/>
    </xf>
    <xf numFmtId="0" fontId="2" fillId="8" borderId="5" xfId="0" applyFont="1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0" fillId="8" borderId="5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8" fillId="10" borderId="0" xfId="0" applyFont="1" applyFill="1" applyBorder="1" applyAlignment="1">
      <alignment horizontal="center"/>
    </xf>
    <xf numFmtId="0" fontId="8" fillId="10" borderId="9" xfId="0" applyFont="1" applyFill="1" applyBorder="1"/>
    <xf numFmtId="0" fontId="8" fillId="10" borderId="10" xfId="0" applyFont="1" applyFill="1" applyBorder="1" applyAlignment="1">
      <alignment horizontal="center"/>
    </xf>
    <xf numFmtId="0" fontId="8" fillId="10" borderId="11" xfId="0" applyFont="1" applyFill="1" applyBorder="1"/>
    <xf numFmtId="0" fontId="8" fillId="10" borderId="12" xfId="0" applyFont="1" applyFill="1" applyBorder="1"/>
    <xf numFmtId="0" fontId="8" fillId="10" borderId="13" xfId="0" applyFont="1" applyFill="1" applyBorder="1"/>
    <xf numFmtId="0" fontId="8" fillId="10" borderId="14" xfId="0" applyFont="1" applyFill="1" applyBorder="1"/>
    <xf numFmtId="0" fontId="8" fillId="10" borderId="15" xfId="0" applyFont="1" applyFill="1" applyBorder="1" applyAlignment="1">
      <alignment horizontal="center"/>
    </xf>
    <xf numFmtId="0" fontId="8" fillId="10" borderId="16" xfId="0" applyFont="1" applyFill="1" applyBorder="1"/>
    <xf numFmtId="0" fontId="8" fillId="11" borderId="9" xfId="0" applyFont="1" applyFill="1" applyBorder="1"/>
    <xf numFmtId="0" fontId="8" fillId="11" borderId="10" xfId="0" applyFont="1" applyFill="1" applyBorder="1" applyAlignment="1">
      <alignment horizontal="center"/>
    </xf>
    <xf numFmtId="0" fontId="8" fillId="11" borderId="11" xfId="0" applyFont="1" applyFill="1" applyBorder="1"/>
    <xf numFmtId="0" fontId="8" fillId="11" borderId="12" xfId="0" applyFont="1" applyFill="1" applyBorder="1"/>
    <xf numFmtId="0" fontId="8" fillId="11" borderId="13" xfId="0" applyFont="1" applyFill="1" applyBorder="1"/>
    <xf numFmtId="0" fontId="8" fillId="11" borderId="0" xfId="0" applyFont="1" applyFill="1" applyBorder="1" applyAlignment="1">
      <alignment horizontal="center"/>
    </xf>
    <xf numFmtId="0" fontId="8" fillId="11" borderId="15" xfId="0" applyFont="1" applyFill="1" applyBorder="1" applyAlignment="1">
      <alignment horizontal="center"/>
    </xf>
    <xf numFmtId="0" fontId="8" fillId="11" borderId="14" xfId="0" applyFont="1" applyFill="1" applyBorder="1"/>
    <xf numFmtId="0" fontId="8" fillId="11" borderId="16" xfId="0" applyFont="1" applyFill="1" applyBorder="1"/>
    <xf numFmtId="0" fontId="9" fillId="12" borderId="0" xfId="0" applyFont="1" applyFill="1" applyBorder="1" applyAlignment="1">
      <alignment horizontal="center"/>
    </xf>
    <xf numFmtId="0" fontId="8" fillId="11" borderId="0" xfId="0" applyFont="1" applyFill="1" applyBorder="1" applyAlignment="1">
      <alignment horizontal="left"/>
    </xf>
    <xf numFmtId="0" fontId="8" fillId="5" borderId="9" xfId="0" applyFont="1" applyFill="1" applyBorder="1"/>
    <xf numFmtId="0" fontId="8" fillId="5" borderId="10" xfId="0" applyFont="1" applyFill="1" applyBorder="1" applyAlignment="1">
      <alignment horizontal="center"/>
    </xf>
    <xf numFmtId="0" fontId="8" fillId="5" borderId="11" xfId="0" applyFont="1" applyFill="1" applyBorder="1"/>
    <xf numFmtId="0" fontId="8" fillId="5" borderId="12" xfId="0" applyFont="1" applyFill="1" applyBorder="1"/>
    <xf numFmtId="0" fontId="9" fillId="5" borderId="0" xfId="0" applyFont="1" applyFill="1" applyBorder="1" applyAlignment="1">
      <alignment horizontal="center"/>
    </xf>
    <xf numFmtId="0" fontId="8" fillId="5" borderId="13" xfId="0" applyFont="1" applyFill="1" applyBorder="1"/>
    <xf numFmtId="0" fontId="8" fillId="5" borderId="0" xfId="0" applyFont="1" applyFill="1" applyBorder="1" applyAlignment="1">
      <alignment horizontal="center"/>
    </xf>
    <xf numFmtId="0" fontId="8" fillId="5" borderId="15" xfId="0" applyFont="1" applyFill="1" applyBorder="1" applyAlignment="1">
      <alignment horizontal="center"/>
    </xf>
    <xf numFmtId="0" fontId="8" fillId="5" borderId="0" xfId="0" applyFont="1" applyFill="1" applyBorder="1" applyAlignment="1">
      <alignment horizontal="left"/>
    </xf>
    <xf numFmtId="0" fontId="8" fillId="5" borderId="14" xfId="0" applyFont="1" applyFill="1" applyBorder="1"/>
    <xf numFmtId="0" fontId="8" fillId="5" borderId="16" xfId="0" applyFont="1" applyFill="1" applyBorder="1"/>
    <xf numFmtId="0" fontId="10" fillId="13" borderId="0" xfId="0" applyFont="1" applyFill="1" applyBorder="1" applyAlignment="1">
      <alignment horizontal="center"/>
    </xf>
    <xf numFmtId="0" fontId="8" fillId="10" borderId="0" xfId="0" applyFont="1" applyFill="1" applyBorder="1" applyAlignment="1">
      <alignment horizontal="left"/>
    </xf>
    <xf numFmtId="0" fontId="8" fillId="9" borderId="9" xfId="0" applyFont="1" applyFill="1" applyBorder="1"/>
    <xf numFmtId="0" fontId="8" fillId="9" borderId="10" xfId="0" applyFont="1" applyFill="1" applyBorder="1" applyAlignment="1">
      <alignment horizontal="center"/>
    </xf>
    <xf numFmtId="0" fontId="8" fillId="9" borderId="11" xfId="0" applyFont="1" applyFill="1" applyBorder="1"/>
    <xf numFmtId="0" fontId="8" fillId="9" borderId="12" xfId="0" applyFont="1" applyFill="1" applyBorder="1"/>
    <xf numFmtId="0" fontId="8" fillId="9" borderId="13" xfId="0" applyFont="1" applyFill="1" applyBorder="1"/>
    <xf numFmtId="0" fontId="8" fillId="9" borderId="0" xfId="0" applyFont="1" applyFill="1" applyBorder="1" applyAlignment="1">
      <alignment horizontal="left"/>
    </xf>
    <xf numFmtId="0" fontId="8" fillId="9" borderId="0" xfId="0" applyFont="1" applyFill="1" applyBorder="1" applyAlignment="1">
      <alignment horizontal="center"/>
    </xf>
    <xf numFmtId="0" fontId="8" fillId="9" borderId="15" xfId="0" applyFont="1" applyFill="1" applyBorder="1" applyAlignment="1">
      <alignment horizontal="center"/>
    </xf>
    <xf numFmtId="0" fontId="8" fillId="9" borderId="14" xfId="0" applyFont="1" applyFill="1" applyBorder="1"/>
    <xf numFmtId="0" fontId="8" fillId="9" borderId="16" xfId="0" applyFont="1" applyFill="1" applyBorder="1"/>
    <xf numFmtId="0" fontId="8" fillId="0" borderId="17" xfId="0" applyFont="1" applyBorder="1"/>
    <xf numFmtId="0" fontId="8" fillId="0" borderId="17" xfId="0" applyFont="1" applyBorder="1" applyAlignment="1">
      <alignment horizontal="center"/>
    </xf>
    <xf numFmtId="0" fontId="8" fillId="0" borderId="18" xfId="0" applyFont="1" applyBorder="1"/>
    <xf numFmtId="0" fontId="8" fillId="0" borderId="18" xfId="0" applyFont="1" applyBorder="1" applyAlignment="1">
      <alignment horizontal="center"/>
    </xf>
    <xf numFmtId="0" fontId="8" fillId="0" borderId="19" xfId="0" applyFont="1" applyBorder="1"/>
    <xf numFmtId="0" fontId="8" fillId="0" borderId="20" xfId="0" applyFont="1" applyBorder="1"/>
    <xf numFmtId="0" fontId="8" fillId="0" borderId="21" xfId="0" applyFont="1" applyBorder="1"/>
    <xf numFmtId="0" fontId="8" fillId="0" borderId="22" xfId="0" applyFont="1" applyBorder="1"/>
    <xf numFmtId="0" fontId="8" fillId="0" borderId="23" xfId="0" applyFont="1" applyBorder="1"/>
    <xf numFmtId="0" fontId="8" fillId="0" borderId="24" xfId="0" applyFont="1" applyBorder="1"/>
    <xf numFmtId="0" fontId="8" fillId="11" borderId="15" xfId="0" applyFont="1" applyFill="1" applyBorder="1" applyAlignment="1">
      <alignment horizontal="left"/>
    </xf>
    <xf numFmtId="0" fontId="8" fillId="10" borderId="15" xfId="0" applyFont="1" applyFill="1" applyBorder="1" applyAlignment="1">
      <alignment horizontal="left"/>
    </xf>
    <xf numFmtId="0" fontId="8" fillId="9" borderId="15" xfId="0" applyFont="1" applyFill="1" applyBorder="1" applyAlignment="1">
      <alignment horizontal="left"/>
    </xf>
    <xf numFmtId="0" fontId="8" fillId="5" borderId="0" xfId="0" applyFont="1" applyFill="1" applyBorder="1" applyAlignment="1">
      <alignment horizontal="left" wrapText="1"/>
    </xf>
    <xf numFmtId="0" fontId="8" fillId="5" borderId="15" xfId="0" applyFont="1" applyFill="1" applyBorder="1" applyAlignment="1">
      <alignment horizontal="left" wrapText="1"/>
    </xf>
  </cellXfs>
  <cellStyles count="1">
    <cellStyle name="Normal" xfId="0" builtinId="0"/>
  </cellStyles>
  <dxfs count="175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Times New Roman"/>
        <family val="1"/>
        <scheme val="none"/>
      </font>
      <fill>
        <patternFill patternType="solid">
          <fgColor indexed="64"/>
          <bgColor rgb="FF002060"/>
        </patternFill>
      </fill>
      <alignment horizontal="general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  <alignment horizontal="general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</dxf>
    <dxf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  <alignment horizontal="left" vertical="center" textRotation="0" wrapText="1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  <alignment horizontal="center" vertical="center" textRotation="0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  <alignment horizontal="general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  <alignment vertical="center" textRotation="0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</dxf>
    <dxf>
      <alignment horizontal="general" vertical="bottom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</dxf>
    <dxf>
      <alignment horizontal="general" vertical="center" textRotation="0" wrapText="1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</dxf>
    <dxf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  <alignment horizontal="general" vertical="bottom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  <alignment horizontal="general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  <alignment horizontal="general" vertical="bottom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03AD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GT" b="1" i="0" baseline="0">
                <a:solidFill>
                  <a:schemeClr val="tx1"/>
                </a:solidFill>
              </a:rPr>
              <a:t>Costos Iniciales y Anual del Proyecto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GT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8A03-447E-AB83-7364AE4E3F74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A03-447E-AB83-7364AE4E3F74}"/>
              </c:ext>
            </c:extLst>
          </c:dPt>
          <c:dLbls>
            <c:dLbl>
              <c:idx val="1"/>
              <c:layout>
                <c:manualLayout>
                  <c:x val="-5.5555555555555552E-2"/>
                  <c:y val="0.20833333333333334"/>
                </c:manualLayout>
              </c:layout>
              <c:spPr>
                <a:solidFill>
                  <a:sysClr val="window" lastClr="FFFFFF"/>
                </a:solidFill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GT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72918"/>
                        <a:gd name="adj2" fmla="val -39955"/>
                      </a:avLst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2-8A03-447E-AB83-7364AE4E3F74}"/>
                </c:ext>
              </c:extLst>
            </c:dLbl>
            <c:dLbl>
              <c:idx val="2"/>
              <c:layout>
                <c:manualLayout>
                  <c:x val="-0.13055555555555554"/>
                  <c:y val="4.3981481481481483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dk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A29D5E8F-6583-45F5-AA85-B1435AAAC429}" type="CATEGORYNAME">
                      <a:rPr lang="en-US"/>
                      <a:pPr>
                        <a:defRPr/>
                      </a:pPr>
                      <a:t>[NOMBRE DE CATEGORÍA]</a:t>
                    </a:fld>
                    <a:r>
                      <a:rPr lang="en-US"/>
                      <a:t> </a:t>
                    </a:r>
                    <a:fld id="{8FC45909-9823-4BDB-B6EA-E5B917C08F2F}" type="PERCENTAGE">
                      <a:rPr lang="en-US" baseline="0"/>
                      <a:pPr>
                        <a:defRPr/>
                      </a:pPr>
                      <a:t>[PORCENTAJE]</a:t>
                    </a:fld>
                    <a:endParaRPr lang="en-US"/>
                  </a:p>
                </c:rich>
              </c:tx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GT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20258683289588802"/>
                      <c:h val="0.11715806357538641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8A03-447E-AB83-7364AE4E3F74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GT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Hoja11!$B$3:$B$5</c:f>
              <c:strCache>
                <c:ptCount val="3"/>
                <c:pt idx="0">
                  <c:v>Costo Inicial</c:v>
                </c:pt>
                <c:pt idx="1">
                  <c:v>Costo Soporte Anual</c:v>
                </c:pt>
                <c:pt idx="2">
                  <c:v>Costos Mant. Anual</c:v>
                </c:pt>
              </c:strCache>
            </c:strRef>
          </c:cat>
          <c:val>
            <c:numRef>
              <c:f>Hoja11!$C$3:$C$5</c:f>
              <c:numCache>
                <c:formatCode>General</c:formatCode>
                <c:ptCount val="3"/>
                <c:pt idx="0">
                  <c:v>20570</c:v>
                </c:pt>
                <c:pt idx="1">
                  <c:v>7800</c:v>
                </c:pt>
                <c:pt idx="2">
                  <c:v>1800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03-447E-AB83-7364AE4E3F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G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5">
            <a:lumMod val="60000"/>
            <a:lumOff val="40000"/>
          </a:schemeClr>
        </a:gs>
        <a:gs pos="83000">
          <a:schemeClr val="accent5">
            <a:lumMod val="75000"/>
          </a:schemeClr>
        </a:gs>
        <a:gs pos="100000">
          <a:srgbClr val="002060"/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G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GT" baseline="0">
                <a:solidFill>
                  <a:schemeClr val="tx1"/>
                </a:solidFill>
              </a:rPr>
              <a:t>Punto de Equilibrio</a:t>
            </a:r>
          </a:p>
        </c:rich>
      </c:tx>
      <c:layout>
        <c:manualLayout>
          <c:xMode val="edge"/>
          <c:yMode val="edge"/>
          <c:x val="0.38580555555555551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G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Hoja11!$C$53</c:f>
              <c:strCache>
                <c:ptCount val="1"/>
                <c:pt idx="0">
                  <c:v>Costos Acomulados</c:v>
                </c:pt>
              </c:strCache>
            </c:strRef>
          </c:tx>
          <c:spPr>
            <a:ln w="444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Hoja11!$B$54:$B$59</c:f>
              <c:strCache>
                <c:ptCount val="6"/>
                <c:pt idx="0">
                  <c:v>Año 0</c:v>
                </c:pt>
                <c:pt idx="1">
                  <c:v>Año 1</c:v>
                </c:pt>
                <c:pt idx="2">
                  <c:v>Año 2</c:v>
                </c:pt>
                <c:pt idx="3">
                  <c:v>Año 3</c:v>
                </c:pt>
                <c:pt idx="4">
                  <c:v>Año 4</c:v>
                </c:pt>
                <c:pt idx="5">
                  <c:v>Año 5</c:v>
                </c:pt>
              </c:strCache>
            </c:strRef>
          </c:cat>
          <c:val>
            <c:numRef>
              <c:f>Hoja11!$C$54:$C$59</c:f>
              <c:numCache>
                <c:formatCode>General</c:formatCode>
                <c:ptCount val="6"/>
                <c:pt idx="0">
                  <c:v>20.57</c:v>
                </c:pt>
                <c:pt idx="1">
                  <c:v>30.172999999999998</c:v>
                </c:pt>
                <c:pt idx="2">
                  <c:v>39.886000000000003</c:v>
                </c:pt>
                <c:pt idx="3">
                  <c:v>49.83</c:v>
                </c:pt>
                <c:pt idx="4">
                  <c:v>60.302</c:v>
                </c:pt>
                <c:pt idx="5">
                  <c:v>70.971999999999994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42-45CE-8343-14F18EFFBF5A}"/>
            </c:ext>
          </c:extLst>
        </c:ser>
        <c:ser>
          <c:idx val="1"/>
          <c:order val="1"/>
          <c:tx>
            <c:strRef>
              <c:f>Hoja11!$D$53</c:f>
              <c:strCache>
                <c:ptCount val="1"/>
                <c:pt idx="0">
                  <c:v>Ingresos Acumulados</c:v>
                </c:pt>
              </c:strCache>
            </c:strRef>
          </c:tx>
          <c:spPr>
            <a:ln w="47625" cap="rnd">
              <a:solidFill>
                <a:srgbClr val="03AD13"/>
              </a:solidFill>
              <a:round/>
            </a:ln>
            <a:effectLst/>
          </c:spPr>
          <c:marker>
            <c:symbol val="none"/>
          </c:marker>
          <c:cat>
            <c:strRef>
              <c:f>Hoja11!$B$54:$B$59</c:f>
              <c:strCache>
                <c:ptCount val="6"/>
                <c:pt idx="0">
                  <c:v>Año 0</c:v>
                </c:pt>
                <c:pt idx="1">
                  <c:v>Año 1</c:v>
                </c:pt>
                <c:pt idx="2">
                  <c:v>Año 2</c:v>
                </c:pt>
                <c:pt idx="3">
                  <c:v>Año 3</c:v>
                </c:pt>
                <c:pt idx="4">
                  <c:v>Año 4</c:v>
                </c:pt>
                <c:pt idx="5">
                  <c:v>Año 5</c:v>
                </c:pt>
              </c:strCache>
            </c:strRef>
          </c:cat>
          <c:val>
            <c:numRef>
              <c:f>Hoja11!$D$54:$D$59</c:f>
              <c:numCache>
                <c:formatCode>General</c:formatCode>
                <c:ptCount val="6"/>
                <c:pt idx="0">
                  <c:v>0</c:v>
                </c:pt>
                <c:pt idx="1">
                  <c:v>7.86</c:v>
                </c:pt>
                <c:pt idx="2">
                  <c:v>28.571999999999999</c:v>
                </c:pt>
                <c:pt idx="3">
                  <c:v>65.171999999999997</c:v>
                </c:pt>
                <c:pt idx="4">
                  <c:v>118.74</c:v>
                </c:pt>
                <c:pt idx="5">
                  <c:v>189.44399999999999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42-45CE-8343-14F18EFFBF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7806464"/>
        <c:axId val="787808384"/>
      </c:lineChart>
      <c:catAx>
        <c:axId val="7878064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GT"/>
                  <a:t>Año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G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787808384"/>
        <c:crosses val="autoZero"/>
        <c:auto val="1"/>
        <c:lblAlgn val="ctr"/>
        <c:lblOffset val="100"/>
        <c:noMultiLvlLbl val="0"/>
      </c:catAx>
      <c:valAx>
        <c:axId val="78780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GT"/>
                  <a:t>Miles de $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G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787806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G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accent1">
            <a:lumMod val="5000"/>
            <a:lumOff val="95000"/>
          </a:schemeClr>
        </a:gs>
        <a:gs pos="17000">
          <a:schemeClr val="accent5">
            <a:lumMod val="60000"/>
            <a:lumOff val="40000"/>
          </a:schemeClr>
        </a:gs>
        <a:gs pos="61000">
          <a:schemeClr val="accent5">
            <a:lumMod val="75000"/>
          </a:schemeClr>
        </a:gs>
        <a:gs pos="80000">
          <a:srgbClr val="002060"/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 i="0" baseline="0">
          <a:solidFill>
            <a:schemeClr val="bg1"/>
          </a:solidFill>
        </a:defRPr>
      </a:pPr>
      <a:endParaRPr lang="es-G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3.png"/><Relationship Id="rId1" Type="http://schemas.openxmlformats.org/officeDocument/2006/relationships/chart" Target="../charts/chart1.xml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5</xdr:row>
      <xdr:rowOff>0</xdr:rowOff>
    </xdr:from>
    <xdr:to>
      <xdr:col>12</xdr:col>
      <xdr:colOff>0</xdr:colOff>
      <xdr:row>17</xdr:row>
      <xdr:rowOff>22860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66925779-03F6-234C-69CA-B3657FED2EE9}"/>
            </a:ext>
          </a:extLst>
        </xdr:cNvPr>
        <xdr:cNvCxnSpPr/>
      </xdr:nvCxnSpPr>
      <xdr:spPr>
        <a:xfrm>
          <a:off x="8740140" y="1097280"/>
          <a:ext cx="0" cy="2217420"/>
        </a:xfrm>
        <a:prstGeom prst="straightConnector1">
          <a:avLst/>
        </a:prstGeom>
        <a:ln w="28575">
          <a:solidFill>
            <a:srgbClr val="C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792480</xdr:colOff>
      <xdr:row>11</xdr:row>
      <xdr:rowOff>0</xdr:rowOff>
    </xdr:from>
    <xdr:to>
      <xdr:col>15</xdr:col>
      <xdr:colOff>7620</xdr:colOff>
      <xdr:row>11</xdr:row>
      <xdr:rowOff>7620</xdr:rowOff>
    </xdr:to>
    <xdr:cxnSp macro="">
      <xdr:nvCxnSpPr>
        <xdr:cNvPr id="5" name="Conector recto de flecha 4">
          <a:extLst>
            <a:ext uri="{FF2B5EF4-FFF2-40B4-BE49-F238E27FC236}">
              <a16:creationId xmlns:a16="http://schemas.microsoft.com/office/drawing/2014/main" id="{051E8961-49F5-4AB8-9955-A0105E7C6520}"/>
            </a:ext>
          </a:extLst>
        </xdr:cNvPr>
        <xdr:cNvCxnSpPr/>
      </xdr:nvCxnSpPr>
      <xdr:spPr>
        <a:xfrm flipV="1">
          <a:off x="7139940" y="2194560"/>
          <a:ext cx="3055620" cy="7620"/>
        </a:xfrm>
        <a:prstGeom prst="straightConnector1">
          <a:avLst/>
        </a:prstGeom>
        <a:ln w="28575">
          <a:solidFill>
            <a:srgbClr val="C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30</xdr:row>
      <xdr:rowOff>0</xdr:rowOff>
    </xdr:from>
    <xdr:to>
      <xdr:col>19</xdr:col>
      <xdr:colOff>7620</xdr:colOff>
      <xdr:row>83</xdr:row>
      <xdr:rowOff>7620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CF4E4E7-6337-273D-BE54-BD4D999FA8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10607040"/>
          <a:ext cx="6545580" cy="9700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22</xdr:row>
      <xdr:rowOff>0</xdr:rowOff>
    </xdr:from>
    <xdr:to>
      <xdr:col>21</xdr:col>
      <xdr:colOff>784860</xdr:colOff>
      <xdr:row>33</xdr:row>
      <xdr:rowOff>53340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39AB9D4-AD99-03AF-F67F-1E7F5CE6F4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53740"/>
          <a:ext cx="7642860" cy="2567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609600</xdr:colOff>
      <xdr:row>6</xdr:row>
      <xdr:rowOff>41910</xdr:rowOff>
    </xdr:from>
    <xdr:to>
      <xdr:col>10</xdr:col>
      <xdr:colOff>426720</xdr:colOff>
      <xdr:row>21</xdr:row>
      <xdr:rowOff>41910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8C41BF4-48B8-D530-3820-DEC6112705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91439</xdr:colOff>
      <xdr:row>23</xdr:row>
      <xdr:rowOff>0</xdr:rowOff>
    </xdr:from>
    <xdr:to>
      <xdr:col>5</xdr:col>
      <xdr:colOff>556260</xdr:colOff>
      <xdr:row>38</xdr:row>
      <xdr:rowOff>12431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3E3EF84-CF2E-14D3-FFD2-2298D82FF72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995" r="6591"/>
        <a:stretch>
          <a:fillRect/>
        </a:stretch>
      </xdr:blipFill>
      <xdr:spPr>
        <a:xfrm>
          <a:off x="883919" y="4206240"/>
          <a:ext cx="4191001" cy="2755631"/>
        </a:xfrm>
        <a:prstGeom prst="rect">
          <a:avLst/>
        </a:prstGeom>
      </xdr:spPr>
    </xdr:pic>
    <xdr:clientData/>
  </xdr:twoCellAnchor>
  <xdr:twoCellAnchor>
    <xdr:from>
      <xdr:col>7</xdr:col>
      <xdr:colOff>137160</xdr:colOff>
      <xdr:row>50</xdr:row>
      <xdr:rowOff>26670</xdr:rowOff>
    </xdr:from>
    <xdr:to>
      <xdr:col>17</xdr:col>
      <xdr:colOff>45720</xdr:colOff>
      <xdr:row>73</xdr:row>
      <xdr:rowOff>91440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2A42BA43-D82D-2578-C24B-45C3F28C87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75</xdr:row>
      <xdr:rowOff>0</xdr:rowOff>
    </xdr:from>
    <xdr:to>
      <xdr:col>16</xdr:col>
      <xdr:colOff>713912</xdr:colOff>
      <xdr:row>98</xdr:row>
      <xdr:rowOff>79619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70FD6D36-525A-7525-7A4B-E7FDBC030E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03620" y="14264640"/>
          <a:ext cx="7846232" cy="428585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B3C92D-07CA-4015-8A52-A029A62B815E}" name="Tabla1" displayName="Tabla1" ref="B4:F16" totalsRowShown="0" headerRowDxfId="146">
  <autoFilter ref="B4:F16" xr:uid="{55B3C92D-07CA-4015-8A52-A029A62B815E}"/>
  <tableColumns count="5">
    <tableColumn id="1" xr3:uid="{EC45B9AD-8128-4DB7-B733-82E5D007823A}" name="ACTIVIDAD"/>
    <tableColumn id="2" xr3:uid="{7611EAE4-9EB7-4678-9DF1-BD8B801DAC08}" name="Estudiantes"/>
    <tableColumn id="3" xr3:uid="{C8A1A69A-29E6-446A-8DF6-AC02420D40FB}" name="Asesor de Tesis"/>
    <tableColumn id="4" xr3:uid="{CBBE0810-E556-491A-B3C1-DDF34E24574E}" name="Usuario"/>
    <tableColumn id="5" xr3:uid="{A2931400-5357-44A7-8687-380A380175D0}" name="Director de Escuela"/>
  </tableColumns>
  <tableStyleInfo name="TableStyleMedium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4A64FDB-1615-4C52-9695-4BF968FACE76}" name="Tabla3" displayName="Tabla3" ref="B3:E19" totalsRowShown="0" headerRowDxfId="145">
  <autoFilter ref="B3:E19" xr:uid="{E4A64FDB-1615-4C52-9695-4BF968FACE76}"/>
  <tableColumns count="4">
    <tableColumn id="1" xr3:uid="{27304D01-6A0F-407C-88B0-1AACB353D29B}" name="Servicio Azure"/>
    <tableColumn id="2" xr3:uid="{3EFEB750-7515-4AF2-AAE9-4C87DD8233D6}" name="SKU / Configuración"/>
    <tableColumn id="3" xr3:uid="{EC2CA8E3-8687-4FB1-A3F4-81B2A7BFC06C}" name="Propósito"/>
    <tableColumn id="4" xr3:uid="{FA37476C-91C8-4A11-BF87-6D28650567D5}" name="Costo/Mes USD"/>
  </tableColumns>
  <tableStyleInfo name="TableStyleLight2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90442DF-90B3-490C-87FE-0DA94520885E}" name="Tabla6" displayName="Tabla6" ref="B21:D31" totalsRowShown="0" headerRowDxfId="144">
  <autoFilter ref="B21:D31" xr:uid="{590442DF-90B3-490C-87FE-0DA94520885E}"/>
  <tableColumns count="3">
    <tableColumn id="1" xr3:uid="{BAC29BA0-990C-4BC6-9C92-A78CC1C38394}" name="Servicio Azure"/>
    <tableColumn id="2" xr3:uid="{8CA07EC9-E9FA-4004-830F-303F75DBCA1B}" name="Cambio respecto a Fase Inicial"/>
    <tableColumn id="3" xr3:uid="{70F87BB7-21AF-4365-A39B-E5E91A976739}" name="Costo/Mes USD"/>
  </tableColumns>
  <tableStyleInfo name="TableStyleLight2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EAE41C6-2DEA-43BA-A41D-DA6CACC25005}" name="Tabla7" displayName="Tabla7" ref="B33:D45" totalsRowShown="0" headerRowDxfId="143">
  <autoFilter ref="B33:D45" xr:uid="{3EAE41C6-2DEA-43BA-A41D-DA6CACC25005}"/>
  <tableColumns count="3">
    <tableColumn id="1" xr3:uid="{7A75A639-0A77-4C54-9503-4045B9CD2387}" name="Servicio Azure"/>
    <tableColumn id="2" xr3:uid="{3A1CC475-4E38-4575-AFB4-863266B1FF4A}" name="Configuración"/>
    <tableColumn id="3" xr3:uid="{1C51234F-EC70-4FE9-AAFE-42696D835156}" name="Costo/Mes USD"/>
  </tableColumns>
  <tableStyleInfo name="TableStyleLight2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E0D983A-C793-453C-8D7F-708EB64394F5}" name="Tabla8" displayName="Tabla8" ref="B47:F50" totalsRowShown="0" headerRowDxfId="142">
  <autoFilter ref="B47:F50" xr:uid="{DE0D983A-C793-453C-8D7F-708EB64394F5}"/>
  <tableColumns count="5">
    <tableColumn id="1" xr3:uid="{3C1DD1E1-ED6A-4E8A-BB9D-1571BC9F06E2}" name="Fase"/>
    <tableColumn id="2" xr3:uid="{9B03D98E-5F8A-459E-A133-1FA42FD298E1}" name="Tenants activos"/>
    <tableColumn id="3" xr3:uid="{1AB44CDD-94D1-443D-BAA8-6D6536D7BE3E}" name="Costo infra Azure/mes"/>
    <tableColumn id="4" xr3:uid="{3890E0DF-B5AB-4467-8FD2-0C60E98230D9}" name="Costo soporte/mes"/>
    <tableColumn id="5" xr3:uid="{C670B431-2884-43E4-BE65-18AF129B90F2}" name="OPEX Total/mes"/>
  </tableColumns>
  <tableStyleInfo name="TableStyleLight20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3B3D904-2C4B-4F90-83EA-86F19FED0396}" name="Tabla9" displayName="Tabla9" ref="B53:E68" totalsRowShown="0" headerRowDxfId="141">
  <autoFilter ref="B53:E68" xr:uid="{F3B3D904-2C4B-4F90-83EA-86F19FED0396}"/>
  <tableColumns count="4">
    <tableColumn id="1" xr3:uid="{8A8CF722-49C5-4DEA-9A05-DBBEF4BCC087}" name="Columna1"/>
    <tableColumn id="2" xr3:uid="{017F01E7-DC78-4061-A9D4-FE2AD1B4B266}" name="Plan Starter"/>
    <tableColumn id="3" xr3:uid="{19F8B3E5-FE5F-414C-9EB7-23870767B03A}" name="Plan Professional"/>
    <tableColumn id="4" xr3:uid="{FE2ACA17-D594-466F-9772-0A92A39D4374}" name="Plan Enterprise"/>
  </tableColumns>
  <tableStyleInfo name="TableStyleLight20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7FF09FD-BD7F-43F0-9F49-CD37E1FA8C5B}" name="Tabla2" displayName="Tabla2" ref="B73:D81" totalsRowShown="0" headerRowDxfId="140">
  <autoFilter ref="B73:D81" xr:uid="{07FF09FD-BD7F-43F0-9F49-CD37E1FA8C5B}"/>
  <tableColumns count="3">
    <tableColumn id="1" xr3:uid="{D638FD3C-E469-4D55-B5D4-B69DE2B3948D}" name="No."/>
    <tableColumn id="2" xr3:uid="{291F7657-E73A-4955-9F61-3E9F87DCA035}" name="Stakeholder"/>
    <tableColumn id="3" xr3:uid="{83DD990E-FC61-4DC3-9D71-549838987EFB}" name="Rol en el sistema" dataDxfId="139"/>
  </tableColumns>
  <tableStyleInfo name="TableStyleLight20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B6C4344-CBD2-4BA2-A19C-FB3401B740EF}" name="Tabla5" displayName="Tabla5" ref="B84:K96" totalsRowShown="0" headerRowDxfId="138">
  <autoFilter ref="B84:K96" xr:uid="{7B6C4344-CBD2-4BA2-A19C-FB3401B740EF}"/>
  <tableColumns count="10">
    <tableColumn id="1" xr3:uid="{B603B3F2-13B5-4DC0-BDF6-24054103C684}" name="No."/>
    <tableColumn id="2" xr3:uid="{0EAE1538-B81D-4743-9383-3F8DE2B9C767}" name="Tarea"/>
    <tableColumn id="3" xr3:uid="{698C621A-D913-482E-92AE-BC10B14668AF}" name="Super Admin"/>
    <tableColumn id="4" xr3:uid="{BDC8018F-F3BF-4328-94F6-7E1FB2A792B1}" name="Gerente"/>
    <tableColumn id="5" xr3:uid="{F8DBF4EC-21AC-445A-A05D-38A99213D390}" name="Ag. Senior"/>
    <tableColumn id="6" xr3:uid="{46C17530-129E-4ED1-BD8D-F5B5532F2F8F}" name="Ag. Junior"/>
    <tableColumn id="7" xr3:uid="{CD86D14E-BFC2-4DD7-A099-0624DD211DFB}" name="Cliente"/>
    <tableColumn id="8" xr3:uid="{CA8A13A2-FB9F-4DA5-B677-0F428D08C559}" name="Dueño PYME"/>
    <tableColumn id="9" xr3:uid="{75687CCB-0EF6-45BF-AE86-C5A8225A36A8}" name="Dev"/>
    <tableColumn id="10" xr3:uid="{635EEF07-3A13-4EE7-9E83-149896AB4169}" name="QA"/>
  </tableColumns>
  <tableStyleInfo name="TableStyleLight20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2D50FC8-95DA-4E49-8C4E-F10E0F19DEBB}" name="Tabla10" displayName="Tabla10" ref="C100:G108" totalsRowShown="0" headerRowDxfId="137">
  <autoFilter ref="C100:G108" xr:uid="{42D50FC8-95DA-4E49-8C4E-F10E0F19DEBB}"/>
  <tableColumns count="5">
    <tableColumn id="1" xr3:uid="{592E1503-4578-434E-A32E-186BEB99B52B}" name="Stakeholder"/>
    <tableColumn id="2" xr3:uid="{9851230C-50F5-47D3-9F43-AA23F5634B63}" name="Poder"/>
    <tableColumn id="3" xr3:uid="{A171360C-5A07-4D31-9284-65BD59487EED}" name="Interés"/>
    <tableColumn id="4" xr3:uid="{8CE05DFC-4357-49CA-896C-03C64492D09D}" name="Cuadrante"/>
    <tableColumn id="5" xr3:uid="{A0D9DA89-C61A-434C-9AAF-72025E3284C4}" name="Estrategia" dataDxfId="136"/>
  </tableColumns>
  <tableStyleInfo name="TableStyleLight20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6A9A236-E597-41ED-9B9D-4FCA5CFCAB7D}" name="Tabla11" displayName="Tabla11" ref="C112:D142" totalsRowShown="0" headerRowDxfId="135">
  <autoFilter ref="C112:D142" xr:uid="{C6A9A236-E597-41ED-9B9D-4FCA5CFCAB7D}"/>
  <tableColumns count="2">
    <tableColumn id="1" xr3:uid="{838FC612-16ED-4282-8A68-8E65968BE0FC}" name="No."/>
    <tableColumn id="2" xr3:uid="{B6C9CF90-1371-4151-A762-F711610C8E58}" name="Nombre del Caso de Uso"/>
  </tableColumns>
  <tableStyleInfo name="TableStyleLight20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3B5C32A-C8F9-440F-B2F2-C6ADDC849102}" name="Tabla4" displayName="Tabla4" ref="C144:E148" totalsRowShown="0" headerRowDxfId="134" dataDxfId="133">
  <autoFilter ref="C144:E148" xr:uid="{43B5C32A-C8F9-440F-B2F2-C6ADDC849102}"/>
  <tableColumns count="3">
    <tableColumn id="1" xr3:uid="{63D79985-9964-4478-85A2-4AA2EA86ABFD}" name="Símbolo" dataDxfId="132"/>
    <tableColumn id="2" xr3:uid="{586FC4E8-6370-4465-851D-8BA5AF9F1B8B}" name="Término" dataDxfId="131"/>
    <tableColumn id="3" xr3:uid="{E89652BC-59DE-4E89-A1B8-8AB5C2552CB2}" name="Significado" dataDxfId="130"/>
  </tableColumns>
  <tableStyleInfo name="TableStyleLight20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F6A305F0-44D2-4DB5-B707-CB107EBDB572}" name="Tabla12" displayName="Tabla12" ref="C154:G184" totalsRowShown="0" headerRowDxfId="129" dataDxfId="128">
  <autoFilter ref="C154:G184" xr:uid="{F6A305F0-44D2-4DB5-B707-CB107EBDB572}"/>
  <tableColumns count="5">
    <tableColumn id="1" xr3:uid="{3D31C8C0-E3D1-49F3-9A9C-A219B0B41EA8}" name="Código" dataDxfId="127"/>
    <tableColumn id="2" xr3:uid="{C2FA137A-28E8-48BE-B040-09108A570141}" name="Historia (resumen)" dataDxfId="126"/>
    <tableColumn id="3" xr3:uid="{83807629-4684-4468-A306-028EDFB5F7F7}" name="Épica / Módulo" dataDxfId="125"/>
    <tableColumn id="4" xr3:uid="{190A189F-1386-4E5B-AD12-C47C1299BD63}" name="Prioridad" dataDxfId="124"/>
    <tableColumn id="5" xr3:uid="{3F1FFDFA-8572-4F18-9340-CC7F37C54013}" name="Dependencias" dataDxfId="123"/>
  </tableColumns>
  <tableStyleInfo name="TableStyleLight20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ACB38A0-A41E-4166-B442-690624D094D9}" name="Tabla13" displayName="Tabla13" ref="C3:D62" totalsRowShown="0" headerRowDxfId="122" dataDxfId="121">
  <autoFilter ref="C3:D62" xr:uid="{AACB38A0-A41E-4166-B442-690624D094D9}"/>
  <tableColumns count="2">
    <tableColumn id="1" xr3:uid="{90DF268F-7A7E-4316-84A2-C65E680CCEC3}" name="Término" dataDxfId="120"/>
    <tableColumn id="2" xr3:uid="{50DFDDD4-B692-4DEE-9CB2-F6D16F5C131B}" name="Definición" dataDxfId="119"/>
  </tableColumns>
  <tableStyleInfo name="TableStyleLight20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D99A6A2B-287D-414B-97A5-BBAC531D4DC9}" name="Tabla14" displayName="Tabla14" ref="B3:B62" totalsRowShown="0" headerRowDxfId="118" dataDxfId="117">
  <autoFilter ref="B3:B62" xr:uid="{D99A6A2B-287D-414B-97A5-BBAC531D4DC9}"/>
  <tableColumns count="1">
    <tableColumn id="1" xr3:uid="{A312D238-B542-4541-B4D7-67F50F0A3A97}" name="No." dataDxfId="116"/>
  </tableColumns>
  <tableStyleInfo name="TableStyleLight20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7F6A2A40-E092-4E54-9605-F58F6C05F607}" name="Tabla15" displayName="Tabla15" ref="C65:E70" totalsRowShown="0" headerRowDxfId="115">
  <autoFilter ref="C65:E70" xr:uid="{7F6A2A40-E092-4E54-9605-F58F6C05F607}"/>
  <tableColumns count="3">
    <tableColumn id="1" xr3:uid="{9E7467CE-4AF4-4C96-913C-DA84BA745BD4}" name="Capa" dataDxfId="114"/>
    <tableColumn id="2" xr3:uid="{7FBBB835-361D-4DCD-B48E-8D871F87C180}" name="Responsabilidad" dataDxfId="113"/>
    <tableColumn id="3" xr3:uid="{8E2C3BC0-B50A-4CD3-B3B5-9FF61E432512}" name="Implementación" dataDxfId="112"/>
  </tableColumns>
  <tableStyleInfo name="TableStyleLight20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B5E7B612-4CE4-45C6-9721-563B0320E830}" name="Tabla16" displayName="Tabla16" ref="C72:D80" totalsRowShown="0" headerRowDxfId="111">
  <autoFilter ref="C72:D80" xr:uid="{B5E7B612-4CE4-45C6-9721-563B0320E830}"/>
  <tableColumns count="2">
    <tableColumn id="1" xr3:uid="{28125A43-6CD1-43EE-9B9C-BD31CB063DA8}" name="Patrón" dataDxfId="110"/>
    <tableColumn id="2" xr3:uid="{98254B4C-908A-4D53-805A-AA8CCD25F617}" name="Uso concreto en el sistema" dataDxfId="109"/>
  </tableColumns>
  <tableStyleInfo name="TableStyleLight20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D2FC5B83-6C3E-47C1-8865-60749636AB51}" name="Tabla17" displayName="Tabla17" ref="C83:F91" totalsRowShown="0" headerRowDxfId="108">
  <autoFilter ref="C83:F91" xr:uid="{D2FC5B83-6C3E-47C1-8865-60749636AB51}"/>
  <tableColumns count="4">
    <tableColumn id="1" xr3:uid="{47368D22-0B07-410B-989D-C744F709A87D}" name="Tecnología" dataDxfId="107"/>
    <tableColumn id="2" xr3:uid="{336351F0-4A9D-4874-BC49-211670765F42}" name="Versión" dataDxfId="106"/>
    <tableColumn id="3" xr3:uid="{423F8B28-7178-4D2D-A570-380074572818}" name="Licencia"/>
    <tableColumn id="4" xr3:uid="{F4408031-D979-4027-9079-6AD65F7CAD3D}" name="Rol"/>
  </tableColumns>
  <tableStyleInfo name="TableStyleLight20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C29A4340-04BD-4F8D-A065-7BEF5D96CC2A}" name="Tabla18" displayName="Tabla18" ref="C93:F96" totalsRowShown="0" headerRowDxfId="105">
  <autoFilter ref="C93:F96" xr:uid="{C29A4340-04BD-4F8D-A065-7BEF5D96CC2A}"/>
  <tableColumns count="4">
    <tableColumn id="1" xr3:uid="{ED620A20-40AF-41B8-BEEC-99DF747ED1FD}" name="Tecnología" dataDxfId="104"/>
    <tableColumn id="2" xr3:uid="{FF4E3891-76FF-4F70-A6ED-3C3A5C75EEE3}" name="Versión" dataDxfId="103"/>
    <tableColumn id="3" xr3:uid="{D89C3FD6-72FC-4B56-807D-72FDB72A49D6}" name="Licencia"/>
    <tableColumn id="4" xr3:uid="{E12AAD54-82BC-45D5-B4BD-5E5FC01449FC}" name="Rol"/>
  </tableColumns>
  <tableStyleInfo name="TableStyleLight20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62857DFB-1AF7-4ACC-9B37-05E4DC879F32}" name="Tabla19" displayName="Tabla19" ref="C98:F103" totalsRowShown="0" headerRowDxfId="102">
  <autoFilter ref="C98:F103" xr:uid="{62857DFB-1AF7-4ACC-9B37-05E4DC879F32}"/>
  <tableColumns count="4">
    <tableColumn id="1" xr3:uid="{0638947F-FA2A-4EDD-B2FE-39510F3AD1AD}" name="Tecnología" dataDxfId="101"/>
    <tableColumn id="2" xr3:uid="{12255D88-E601-4F0D-A6DF-7F75C8EBB5EB}" name="Versión" dataDxfId="100"/>
    <tableColumn id="3" xr3:uid="{439AC9B5-DBAF-456F-BA13-B097B7BD4F80}" name="Licencia"/>
    <tableColumn id="4" xr3:uid="{F4A8BAB4-7A56-43A9-9EF4-8C056B90C004}" name="Rol"/>
  </tableColumns>
  <tableStyleInfo name="TableStyleLight20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DA817B9C-8709-4397-8453-FAE4EA2CC43C}" name="Tabla20" displayName="Tabla20" ref="C105:F116" totalsRowShown="0" headerRowDxfId="99">
  <autoFilter ref="C105:F116" xr:uid="{DA817B9C-8709-4397-8453-FAE4EA2CC43C}"/>
  <tableColumns count="4">
    <tableColumn id="1" xr3:uid="{498BBEF6-8375-41E9-9881-E434046AF5DF}" name="Tecnología" dataDxfId="98"/>
    <tableColumn id="2" xr3:uid="{A6CEB9ED-A9FD-4CB6-8D34-1E66578770C1}" name="Versión" dataDxfId="97"/>
    <tableColumn id="3" xr3:uid="{6FB59665-3E02-4DF5-A847-1F048A2A190F}" name="Licencia"/>
    <tableColumn id="4" xr3:uid="{81C4D2C1-8C26-470D-869F-E8F9FE515C16}" name="Rol"/>
  </tableColumns>
  <tableStyleInfo name="TableStyleLight20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CED1471-62F5-44E5-ACBB-AFEB36735815}" name="Tabla21" displayName="Tabla21" ref="C119:F122" totalsRowShown="0" headerRowDxfId="96">
  <autoFilter ref="C119:F122" xr:uid="{0CED1471-62F5-44E5-ACBB-AFEB36735815}"/>
  <tableColumns count="4">
    <tableColumn id="1" xr3:uid="{D72A8A91-F9A0-43B4-AF2F-69B6B828469F}" name="Tecnología" dataDxfId="95"/>
    <tableColumn id="2" xr3:uid="{AA73234C-268B-403C-A281-B0DEAB0935D2}" name="Versión" dataDxfId="94"/>
    <tableColumn id="3" xr3:uid="{7C3E09C3-C419-47AD-AAE8-D5C9E79156A3}" name="Licencia"/>
    <tableColumn id="4" xr3:uid="{3E162C25-8A3A-49E8-9A19-43E0B6331ECC}" name="Rol"/>
  </tableColumns>
  <tableStyleInfo name="TableStyleLight20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846502CF-6C1F-4589-911E-9AD93B415F94}" name="Tabla22" displayName="Tabla22" ref="C125:G131" totalsRowShown="0" headerRowDxfId="93" dataDxfId="92">
  <autoFilter ref="C125:G131" xr:uid="{846502CF-6C1F-4589-911E-9AD93B415F94}"/>
  <tableColumns count="5">
    <tableColumn id="1" xr3:uid="{A5401688-0800-4A2A-82F6-87CADFD1E784}" name="Criterio" dataDxfId="91"/>
    <tableColumn id="2" xr3:uid="{349DEF42-AED4-42BE-8DC1-6B0E5FCB1128}" name="NestJS ✅" dataDxfId="90"/>
    <tableColumn id="3" xr3:uid="{A80D0773-1443-42C7-8688-EC589F79C4FE}" name="Express puro" dataDxfId="89"/>
    <tableColumn id="4" xr3:uid="{64F97808-57F8-4436-8BC4-0EC9CA2F9B0C}" name="Fastify" dataDxfId="88"/>
    <tableColumn id="5" xr3:uid="{B29EC9EC-D71D-4989-B65F-9F69DA603988}" name="Hapi" dataDxfId="87"/>
  </tableColumns>
  <tableStyleInfo name="TableStyleLight20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5908BC9A-AB6A-41C3-91C3-91D13BC23D00}" name="Tabla23" displayName="Tabla23" ref="C134:G139" totalsRowShown="0" headerRowDxfId="86" dataDxfId="85">
  <autoFilter ref="C134:G139" xr:uid="{5908BC9A-AB6A-41C3-91C3-91D13BC23D00}"/>
  <tableColumns count="5">
    <tableColumn id="1" xr3:uid="{0AEF401E-57D6-448C-8BA5-9D87F9CEED0F}" name="Criterio" dataDxfId="84"/>
    <tableColumn id="2" xr3:uid="{4E1B27A6-6B72-4E61-9E9B-24F4D5EFAA0F}" name="React + Vite ✅" dataDxfId="83"/>
    <tableColumn id="3" xr3:uid="{4B239269-509C-42B2-A198-9927BF1FC289}" name="Angular" dataDxfId="82"/>
    <tableColumn id="4" xr3:uid="{EA440BD9-4ED7-4041-A936-73D1F5F26F6E}" name="Vue 3" dataDxfId="81"/>
    <tableColumn id="5" xr3:uid="{BB133910-CF69-4D99-89D1-C1877E8C7E44}" name="SvelteKit" dataDxfId="80"/>
  </tableColumns>
  <tableStyleInfo name="TableStyleLight20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83B9F76F-340F-4D62-B4F8-DF89E9E502D4}" name="Tabla24" displayName="Tabla24" ref="C141:G146" totalsRowShown="0" headerRowDxfId="79">
  <autoFilter ref="C141:G146" xr:uid="{83B9F76F-340F-4D62-B4F8-DF89E9E502D4}"/>
  <tableColumns count="5">
    <tableColumn id="1" xr3:uid="{EB12EBDB-49E9-4CA1-B357-4FE08A318990}" name="Criterio" dataDxfId="78"/>
    <tableColumn id="2" xr3:uid="{32CFD4FF-B833-4C33-B41B-0D68743C469F}" name="Next.js 14 SSR ✅" dataDxfId="77"/>
    <tableColumn id="3" xr3:uid="{A40A1297-2C45-4A1B-97BB-B68438275280}" name="Gatsby"/>
    <tableColumn id="4" xr3:uid="{A13F817C-44A7-400D-BD2A-72221A566447}" name="Remix"/>
    <tableColumn id="5" xr3:uid="{8D59BB7F-86D4-45BB-ADC0-7DD726283BB1}" name="Astro"/>
  </tableColumns>
  <tableStyleInfo name="TableStyleLight20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BF493B22-1B76-4538-BEA2-FD58E18DB6B5}" name="Tabla25" displayName="Tabla25" ref="C148:G153" totalsRowShown="0" headerRowDxfId="76" dataDxfId="75">
  <autoFilter ref="C148:G153" xr:uid="{BF493B22-1B76-4538-BEA2-FD58E18DB6B5}"/>
  <tableColumns count="5">
    <tableColumn id="1" xr3:uid="{335082A6-F1D8-40FA-A553-A4B8A539BE26}" name="Criterio" dataDxfId="74"/>
    <tableColumn id="2" xr3:uid="{D1A569AE-BEF4-44E5-89F9-97984B2ACB00}" name="PostgreSQL 16 ✅" dataDxfId="73"/>
    <tableColumn id="3" xr3:uid="{82CD35B9-C487-4DF4-A087-AF094C7600A7}" name="MySQL 8" dataDxfId="72"/>
    <tableColumn id="4" xr3:uid="{569AF49E-7178-4326-8B70-F684D7D5755E}" name="MongoDB" dataDxfId="71"/>
    <tableColumn id="5" xr3:uid="{6CDD3199-63C0-4781-A233-01F135A3B022}" name="Supabase" dataDxfId="70"/>
  </tableColumns>
  <tableStyleInfo name="TableStyleLight20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B050E695-4051-4CB9-91AF-EB4D9EFAAFA1}" name="Tabla26" displayName="Tabla26" ref="B5:C15" totalsRowShown="0" headerRowDxfId="69" dataDxfId="68">
  <autoFilter ref="B5:C15" xr:uid="{B050E695-4051-4CB9-91AF-EB4D9EFAAFA1}"/>
  <tableColumns count="2">
    <tableColumn id="1" xr3:uid="{B8768C81-130E-4AA8-AE9E-CA24E25E28FE}" name="Recurso" dataDxfId="67"/>
    <tableColumn id="2" xr3:uid="{259A1174-63D5-44D7-9C07-94C67FB5EE2E}" name="Especificación mínima" dataDxfId="66"/>
  </tableColumns>
  <tableStyleInfo name="TableStyleLight20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1B3F6E84-6101-42B3-B49B-9EDB988079F6}" name="Tabla27" displayName="Tabla27" ref="B18:C31" totalsRowShown="0" headerRowDxfId="65">
  <autoFilter ref="B18:C31" xr:uid="{1B3F6E84-6101-42B3-B49B-9EDB988079F6}"/>
  <tableColumns count="2">
    <tableColumn id="1" xr3:uid="{30661648-3F68-4536-AF77-C57BBA20DB75}" name="Recurso"/>
    <tableColumn id="2" xr3:uid="{C9EFF7A2-1F55-4CA0-A20D-EB5CFAF7CA6D}" name="Especificación recomendada" dataDxfId="64"/>
  </tableColumns>
  <tableStyleInfo name="TableStyleLight20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4C022B44-987F-4693-BF43-D4E929BD1F38}" name="Tabla28" displayName="Tabla28" ref="B34:G39" totalsRowShown="0" headerRowDxfId="63">
  <autoFilter ref="B34:G39" xr:uid="{4C022B44-987F-4693-BF43-D4E929BD1F38}"/>
  <tableColumns count="6">
    <tableColumn id="1" xr3:uid="{DDA14ADC-4BD3-46BE-AC0A-738CCDB7A940}" name="ID" dataDxfId="62"/>
    <tableColumn id="2" xr3:uid="{28443A5C-13D7-41E2-9D7B-BA788E03A2E9}" name="Modo de Fallo" dataDxfId="61"/>
    <tableColumn id="3" xr3:uid="{0C181921-9F43-40BC-B10A-E68547A80BF9}" name="Efecto" dataDxfId="60"/>
    <tableColumn id="4" xr3:uid="{CDBA835E-3264-4969-8805-7A95C6399CCB}" name="Prob." dataDxfId="59"/>
    <tableColumn id="5" xr3:uid="{27905783-1C33-4232-BE7B-AC2DEC06ED37}" name="Impacto" dataDxfId="58"/>
    <tableColumn id="6" xr3:uid="{EEF23456-87DD-4913-9B10-0A21E4B4033E}" name="Plan de Mitigación" dataDxfId="57"/>
  </tableColumns>
  <tableStyleInfo name="TableStyleLight20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4AA687A6-7499-48BF-A678-5358ABBC1FB4}" name="Tabla29" displayName="Tabla29" ref="C43:H48" totalsRowShown="0" headerRowDxfId="56" dataDxfId="55">
  <autoFilter ref="C43:H48" xr:uid="{4AA687A6-7499-48BF-A678-5358ABBC1FB4}"/>
  <tableColumns count="6">
    <tableColumn id="1" xr3:uid="{EE6903D4-D989-4E5F-800D-451C18E418D0}" name="Rol" dataDxfId="54"/>
    <tableColumn id="2" xr3:uid="{CB5FA71C-8566-4D4E-B665-FADDB1FF0348}" name="Dedicación" dataDxfId="53"/>
    <tableColumn id="3" xr3:uid="{170AA682-7371-4A74-81BE-F2FE57F5039C}" name="Semanas" dataDxfId="52"/>
    <tableColumn id="4" xr3:uid="{F1C1FC94-76EE-409B-8F0E-7A4A47AF6BD3}" name="Total horas" dataDxfId="51"/>
    <tableColumn id="5" xr3:uid="{E81AF3DE-29E7-4A3A-8A63-15DF9E27C18E}" name="Tarifa / hora (USD)" dataDxfId="50"/>
    <tableColumn id="6" xr3:uid="{444ECB50-FD4F-4036-8B25-FDC3754A6DA9}" name="Costo total (USD)" dataDxfId="49"/>
  </tableColumns>
  <tableStyleInfo name="TableStyleLight20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86540CDB-DF27-4F47-B867-0DC9235191D1}" name="Tabla30" displayName="Tabla30" ref="C51:F60" totalsRowShown="0" headerRowDxfId="48" dataDxfId="47">
  <autoFilter ref="C51:F60" xr:uid="{86540CDB-DF27-4F47-B867-0DC9235191D1}"/>
  <tableColumns count="4">
    <tableColumn id="1" xr3:uid="{F08DB348-78D7-4968-904D-9D1F8E57203E}" name="Servicio GCP" dataDxfId="46"/>
    <tableColumn id="2" xr3:uid="{9F5973AD-659E-431C-A6CC-EC1380C12FC8}" name="Producto" dataDxfId="45"/>
    <tableColumn id="3" xr3:uid="{C97A69BF-7418-44C0-BE60-45C8E51D00DB}" name="Specs" dataDxfId="44"/>
    <tableColumn id="4" xr3:uid="{6E790435-E2B2-42AE-9EE3-C838F6B13B3E}" name="Costo aprox./mes" dataDxfId="43"/>
  </tableColumns>
  <tableStyleInfo name="TableStyleLight20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F43F5B27-E68E-4CB7-9DE5-ADD4DA87EE0D}" name="Tabla31" displayName="Tabla31" ref="C65:H66" totalsRowShown="0" headerRowDxfId="42">
  <autoFilter ref="C65:H66" xr:uid="{F43F5B27-E68E-4CB7-9DE5-ADD4DA87EE0D}"/>
  <tableColumns count="6">
    <tableColumn id="1" xr3:uid="{7136A10A-BD44-4BF5-B3AE-CFA96903C33F}" name="Rubro" dataDxfId="41"/>
    <tableColumn id="2" xr3:uid="{6C1F8937-E17F-45DC-9133-5F46335A6FD2}" name="Año 1"/>
    <tableColumn id="3" xr3:uid="{61B7AB7C-799B-4AF5-BED9-767D469C4766}" name="Año 2"/>
    <tableColumn id="4" xr3:uid="{D7AB77A6-A968-4E8B-9360-E6AAE31BDBE7}" name="Año 3"/>
    <tableColumn id="5" xr3:uid="{CD922857-BC9F-400B-8491-9C60F5913D2E}" name="Año 4"/>
    <tableColumn id="6" xr3:uid="{56776858-1C97-4FF5-A048-AE47F12D9F65}" name="Año 5"/>
  </tableColumns>
  <tableStyleInfo name="TableStyleLight20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EFBC732B-83CF-42B9-A7CC-E9B414CE3036}" name="Tabla32" displayName="Tabla32" ref="C77:D83" totalsRowShown="0" headerRowDxfId="40" dataDxfId="39">
  <autoFilter ref="C77:D83" xr:uid="{EFBC732B-83CF-42B9-A7CC-E9B414CE3036}"/>
  <tableColumns count="2">
    <tableColumn id="1" xr3:uid="{C2E65BBF-D25F-4055-B2F3-4266CB8094AA}" name="Elemento" dataDxfId="38"/>
    <tableColumn id="2" xr3:uid="{43C97C64-FA4B-424F-98C1-3DAA5255214E}" name="Detalle" dataDxfId="37"/>
  </tableColumns>
  <tableStyleInfo name="TableStyleLight20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A48AE35-3815-4CB7-A9C4-51C76633E5F1}" name="Tabla33" displayName="Tabla33" ref="C87:G106" totalsRowShown="0" headerRowDxfId="36">
  <autoFilter ref="C87:G106" xr:uid="{BA48AE35-3815-4CB7-A9C4-51C76633E5F1}"/>
  <tableColumns count="5">
    <tableColumn id="1" xr3:uid="{D088211E-5301-41C9-9667-727F7B816CFC}" name="Funcionalidad" dataDxfId="35"/>
    <tableColumn id="2" xr3:uid="{E2BE6EB9-B318-4EEB-AC3D-1CBCC29755F5}" name="**Free**"/>
    <tableColumn id="3" xr3:uid="{0EC3D884-2F70-41CD-8B7F-7CB4ECB3B17C}" name="**Basic**"/>
    <tableColumn id="4" xr3:uid="{4B305D05-F62B-463E-9826-D7B81C4A0563}" name="**Pro**"/>
    <tableColumn id="5" xr3:uid="{296F325F-3D69-4E65-9194-9AD190A04A32}" name="**Enterprise**"/>
  </tableColumns>
  <tableStyleInfo name="TableStyleLight20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5DD1DE8B-7C19-4667-8156-2D9680C6CAA4}" name="Tabla34" displayName="Tabla34" ref="C110:E113" totalsRowShown="0">
  <autoFilter ref="C110:E113" xr:uid="{5DD1DE8B-7C19-4667-8156-2D9680C6CAA4}"/>
  <tableColumns count="3">
    <tableColumn id="1" xr3:uid="{BEB93FB8-0331-4BA4-A846-EC05D0AFBA4B}" name="Canal"/>
    <tableColumn id="2" xr3:uid="{6329EB3F-C0D8-4425-9A5B-33132D75334C}" name="Táctica"/>
    <tableColumn id="3" xr3:uid="{BE4141CC-46E0-41C9-9D05-BF9897BF32F1}" name="Horizonte"/>
  </tableColumns>
  <tableStyleInfo name="TableStyleLight20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AE584D6A-7942-48C5-8A3D-A1222F2E6E61}" name="Tabla35" displayName="Tabla35" ref="C116:F120" totalsRowShown="0" headerRowDxfId="34">
  <autoFilter ref="C116:F120" xr:uid="{AE584D6A-7942-48C5-8A3D-A1222F2E6E61}"/>
  <tableColumns count="4">
    <tableColumn id="1" xr3:uid="{CD9D13C6-DCAC-4EAB-9351-6FB742A5B0DC}" name="Plan"/>
    <tableColumn id="2" xr3:uid="{0ABFF26C-C484-49FF-A33C-1406EA2B921A}" name="Precio/mes (USD)"/>
    <tableColumn id="3" xr3:uid="{5C4469E3-2023-4DA4-9B51-4D79757EA180}" name="Cantidad mínima"/>
    <tableColumn id="4" xr3:uid="{CE1570B3-4138-4136-AED2-F34FCA98E905}" name="Ingreso mensual"/>
  </tableColumns>
  <tableStyleInfo name="TableStyleLight20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AA080BF9-B1F5-4631-98DB-74CFFEB23905}" name="Tabla36" displayName="Tabla36" ref="C124:D127" totalsRowShown="0" headerRowDxfId="33">
  <autoFilter ref="C124:D127" xr:uid="{AA080BF9-B1F5-4631-98DB-74CFFEB23905}"/>
  <tableColumns count="2">
    <tableColumn id="1" xr3:uid="{AAE66784-2D13-4F20-93B4-D2B38DFB739A}" name="Concepto"/>
    <tableColumn id="2" xr3:uid="{AD96DE5B-D0EE-4597-BC78-39B97D454FF7}" name="Año 1"/>
  </tableColumns>
  <tableStyleInfo name="TableStyleLight20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347B5AA6-7D87-4398-81A0-5FFF76E99768}" name="Tabla37" displayName="Tabla37" ref="C129:H140" totalsRowShown="0" headerRowDxfId="32" dataDxfId="30" headerRowBorderDxfId="31" tableBorderDxfId="29">
  <autoFilter ref="C129:H140" xr:uid="{347B5AA6-7D87-4398-81A0-5FFF76E99768}"/>
  <tableColumns count="6">
    <tableColumn id="1" xr3:uid="{6951F522-14AC-4864-9FB1-BA3B37959629}" name="Métrica" dataDxfId="28"/>
    <tableColumn id="2" xr3:uid="{0E183BD8-6354-4600-8E86-35303E6AFAE3}" name="Año 1" dataDxfId="27"/>
    <tableColumn id="3" xr3:uid="{FB5F4156-47C9-41E4-9F24-5FB5B4DBAAB9}" name="Año 2" dataDxfId="26"/>
    <tableColumn id="4" xr3:uid="{396AFB0A-7144-4BE3-B3B2-2455588C1FF9}" name="Año 3" dataDxfId="25"/>
    <tableColumn id="5" xr3:uid="{0037FB99-6300-4504-8CAE-9870EC5C3461}" name="Año 4" dataDxfId="24"/>
    <tableColumn id="6" xr3:uid="{7EDB12E4-AE94-4D51-8D4A-872B13200391}" name="Año 5" dataDxfId="23"/>
  </tableColumns>
  <tableStyleInfo name="TableStyleLight20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11286FF4-A02F-45D1-ABCE-805058F0DE2A}" name="Tabla39" displayName="Tabla39" ref="C145:G156" totalsRowShown="0" headerRowDxfId="22">
  <autoFilter ref="C145:G156" xr:uid="{11286FF4-A02F-45D1-ABCE-805058F0DE2A}"/>
  <tableColumns count="5">
    <tableColumn id="1" xr3:uid="{F1EBDDF8-3188-4532-BD40-58E8860C6181}" name="Servicio GCP"/>
    <tableColumn id="2" xr3:uid="{6BC9CA97-C1C9-4926-AC71-3173640DB2E3}" name="Producto"/>
    <tableColumn id="3" xr3:uid="{1EA01A52-59CE-452C-8A48-BA2CA32A2F63}" name="Specs"/>
    <tableColumn id="4" xr3:uid="{4EF1C4C4-BF0E-4A55-B110-3CED11321FA2}" name="Costo/mes"/>
    <tableColumn id="5" xr3:uid="{C75B4A30-35AF-476B-BAA3-BC770FBE307C}" name="vs Mínimo"/>
  </tableColumns>
  <tableStyleInfo name="TableStyleLight20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3036BBA4-90E3-4E14-8127-87071630738D}" name="Tabla38" displayName="Tabla38" ref="C160:H162" totalsRowShown="0" headerRowDxfId="21" dataDxfId="20">
  <autoFilter ref="C160:H162" xr:uid="{3036BBA4-90E3-4E14-8127-87071630738D}"/>
  <tableColumns count="6">
    <tableColumn id="1" xr3:uid="{92DED65A-1555-4419-B1DC-B02675591B86}" name="Configuración" dataDxfId="19"/>
    <tableColumn id="2" xr3:uid="{80B926BA-2793-4FF6-9730-86E9D5218FDA}" name="Costo/mes" dataDxfId="18"/>
    <tableColumn id="3" xr3:uid="{A8479D4F-554A-42DA-A4E9-DF23F3E710BE}" name="Tenants (agencias)" dataDxfId="17"/>
    <tableColumn id="4" xr3:uid="{836E4477-7280-4243-99D9-3E69BCCC942B}" name="Agentes concurrentes" dataDxfId="16"/>
    <tableColumn id="5" xr3:uid="{4F9D2593-F20B-4DD3-8901-B71EDB53667E}" name="Propiedades activas" dataDxfId="15"/>
    <tableColumn id="6" xr3:uid="{8DCCAF24-2F9E-4D4D-BCC9-044241AACD9A}" name="Tráfico portal/mes" dataDxfId="14"/>
  </tableColumns>
  <tableStyleInfo name="TableStyleLight20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B6DC69B3-10EC-4D35-9BDD-03DA0EC3FCCE}" name="Tabla40" displayName="Tabla40" ref="K5:M10" totalsRowShown="0" headerRowDxfId="13" dataDxfId="12">
  <autoFilter ref="K5:M10" xr:uid="{B6DC69B3-10EC-4D35-9BDD-03DA0EC3FCCE}"/>
  <tableColumns count="3">
    <tableColumn id="1" xr3:uid="{9FD8AD5A-1355-4269-9EDA-B1249E92570F}" name="Concepto" dataDxfId="11"/>
    <tableColumn id="2" xr3:uid="{2353A8DD-3D29-4DEE-A3E2-03295713DD73}" name="Especificación referencial" dataDxfId="10"/>
    <tableColumn id="3" xr3:uid="{FBCF0390-2B8B-49F5-B8B0-0DD88A0C7E2F}" name="Costo (USD)" dataDxfId="9"/>
  </tableColumns>
  <tableStyleInfo name="TableStyleLight20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00BC125-A545-4359-AF48-3E288A1510BC}" name="Tabla41" displayName="Tabla41" ref="B3:F8" totalsRowShown="0" headerRowDxfId="174" dataDxfId="173">
  <autoFilter ref="B3:F8" xr:uid="{000BC125-A545-4359-AF48-3E288A1510BC}"/>
  <tableColumns count="5">
    <tableColumn id="1" xr3:uid="{CC984F80-38DB-4C4D-8093-1D8E8BEF90AE}" name="Concepto" dataDxfId="172"/>
    <tableColumn id="2" xr3:uid="{B7816BED-A2C1-45DF-9BD9-A842803023D9}" name="Plan" dataDxfId="171"/>
    <tableColumn id="3" xr3:uid="{13BBE647-8E28-4496-989B-A695288D9E80}" name="Duración" dataDxfId="170"/>
    <tableColumn id="4" xr3:uid="{B9F100D8-9524-40D2-BA9C-235C4C16E449}" name="Costo (USD)" dataDxfId="169"/>
    <tableColumn id="5" xr3:uid="{5AA2BAAA-A9BF-46F2-A1D7-4BB224D8FC37}" name="Observación" dataDxfId="168"/>
  </tableColumns>
  <tableStyleInfo name="TableStyleLight20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78D6C4CD-BBE0-4561-B426-EC1E9C20B7BB}" name="Tabla42" displayName="Tabla42" ref="B12:C17" totalsRowShown="0" headerRowDxfId="167">
  <autoFilter ref="B12:C17" xr:uid="{78D6C4CD-BBE0-4561-B426-EC1E9C20B7BB}"/>
  <tableColumns count="2">
    <tableColumn id="1" xr3:uid="{C7D46328-90B6-4528-8174-83EDD4045139}" name="Categoría"/>
    <tableColumn id="2" xr3:uid="{9F0D0D9E-1FEF-4342-B495-8F2D7F527375}" name="Costo (USD)" dataDxfId="166"/>
  </tableColumns>
  <tableStyleInfo name="TableStyleLight20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9CA70B2-4190-4248-996E-65A8C6929AA1}" name="Tabla43" displayName="Tabla43" ref="B21:E25" totalsRowShown="0" headerRowDxfId="165">
  <autoFilter ref="B21:E25" xr:uid="{09CA70B2-4190-4248-996E-65A8C6929AA1}"/>
  <tableColumns count="4">
    <tableColumn id="1" xr3:uid="{3B3FCFF3-4499-4C05-A22C-93970A6923BC}" name="Concepto"/>
    <tableColumn id="2" xr3:uid="{574467B8-7111-4ABE-A78E-10E99F3E9FC1}" name="Producto GCP"/>
    <tableColumn id="3" xr3:uid="{228CD964-C353-4312-8900-FFEDBF3FC9AF}" name="Duración"/>
    <tableColumn id="4" xr3:uid="{93D0B7F9-8E1A-4A48-9BC2-5B98186B1B5B}" name="Costo (USD)"/>
  </tableColumns>
  <tableStyleInfo name="TableStyleLight20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1886C670-5132-4187-B166-2727D6C2B15B}" name="Tabla44" displayName="Tabla44" ref="B55:G62" totalsRowShown="0" headerRowDxfId="164" dataDxfId="163">
  <autoFilter ref="B55:G62" xr:uid="{1886C670-5132-4187-B166-2727D6C2B15B}"/>
  <tableColumns count="6">
    <tableColumn id="1" xr3:uid="{5C2BBFF0-6AD1-4E87-A794-7F46EC368F4C}" name="Rubro" dataDxfId="162"/>
    <tableColumn id="2" xr3:uid="{3894F3F5-BEC9-4620-89E6-B0F3ACFB2D38}" name="Año 1" dataDxfId="161"/>
    <tableColumn id="3" xr3:uid="{121E6E5F-F16C-4432-BC69-7E9D8B6D07C6}" name="Año 2" dataDxfId="160"/>
    <tableColumn id="4" xr3:uid="{7F09B870-84E4-4DD1-AB74-94AF604305FA}" name="Año 3" dataDxfId="159"/>
    <tableColumn id="5" xr3:uid="{F9E5C348-4C99-47FB-85FC-A9BEFEDB4996}" name="Año 4" dataDxfId="158"/>
    <tableColumn id="6" xr3:uid="{F474DA0A-116D-47AE-A7D6-BC7F6FCEA05A}" name="Año 5" dataDxfId="157"/>
  </tableColumns>
  <tableStyleInfo name="TableStyleLight20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C0A8F2A8-D951-43FB-B0A0-C7332A18B3CB}" name="Tabla45" displayName="Tabla45" ref="B65:H70" totalsRowShown="0" headerRowDxfId="156" dataDxfId="155">
  <autoFilter ref="B65:H70" xr:uid="{C0A8F2A8-D951-43FB-B0A0-C7332A18B3CB}"/>
  <tableColumns count="7">
    <tableColumn id="1" xr3:uid="{2124EFD1-584F-41E1-ABBA-A1613FB06CD0}" name="Concepto" dataDxfId="154"/>
    <tableColumn id="2" xr3:uid="{781B0F6A-77E5-458D-8961-EA120BABE852}" name="Año 0" dataDxfId="153"/>
    <tableColumn id="3" xr3:uid="{6AA5CC27-EDA7-4865-9519-79E931586FA7}" name="Año 1" dataDxfId="152"/>
    <tableColumn id="4" xr3:uid="{E74B2AD7-B9CA-4E7D-AB54-299BF1095CE6}" name="Año 2" dataDxfId="151"/>
    <tableColumn id="5" xr3:uid="{E14BA819-F00B-4B4B-B4A0-60D57BC154DF}" name="Año 3" dataDxfId="150"/>
    <tableColumn id="6" xr3:uid="{121FDED8-3F67-4FF5-B166-B26E072FB2FB}" name="Año 4" dataDxfId="149"/>
    <tableColumn id="7" xr3:uid="{64F073CB-E66E-4BA9-9373-A5FFBE936A55}" name="Año 5" dataDxfId="148"/>
  </tableColumns>
  <tableStyleInfo name="TableStyleLight20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F1E464E-7A91-41F5-A097-2A8E6B67293D}" name="Tabla46" displayName="Tabla46" ref="B73:H82" totalsRowShown="0" headerRowDxfId="147">
  <autoFilter ref="B73:H82" xr:uid="{0F1E464E-7A91-41F5-A097-2A8E6B67293D}"/>
  <tableColumns count="7">
    <tableColumn id="1" xr3:uid="{66142EF6-8DF6-4584-B998-EAAF8E244089}" name="Plan"/>
    <tableColumn id="2" xr3:uid="{84068A4B-FF84-4F3C-8340-9772FD5C3F93}" name="Precio/mes"/>
    <tableColumn id="3" xr3:uid="{F67D2EA4-FB20-47E0-A5A9-7477905355B1}" name="Año 1"/>
    <tableColumn id="4" xr3:uid="{4BB6E292-0E35-45F5-87E3-CF3594D6EBE8}" name="Año 2"/>
    <tableColumn id="5" xr3:uid="{A2F0626B-9AE5-4722-B679-BAF70831E5BD}" name="Año 3"/>
    <tableColumn id="6" xr3:uid="{EA528870-AE31-4367-A421-59A5EA1AE04B}" name="Año 4"/>
    <tableColumn id="7" xr3:uid="{CEA48ACE-8E9D-4008-B2A9-9EA5CE68CA76}" name="Año 5"/>
  </tableColumns>
  <tableStyleInfo name="TableStyleLight20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94B79FAE-FE4F-4153-8B46-C23507E26485}" name="Tabla4548" displayName="Tabla4548" ref="B44:H49" totalsRowShown="0" headerRowDxfId="8" dataDxfId="7">
  <autoFilter ref="B44:H49" xr:uid="{94B79FAE-FE4F-4153-8B46-C23507E26485}"/>
  <tableColumns count="7">
    <tableColumn id="1" xr3:uid="{144F9F77-DDD0-41A6-B740-1EA2C3523260}" name="Concepto" dataDxfId="6"/>
    <tableColumn id="2" xr3:uid="{A5290C1D-3F5D-491F-8BCA-B5626DE0C86D}" name="Año 0" dataDxfId="5"/>
    <tableColumn id="3" xr3:uid="{E1710A4A-255B-4758-B9D5-D072BFDB2DBB}" name="Año 1" dataDxfId="4"/>
    <tableColumn id="4" xr3:uid="{5BDFAA92-B875-4A3C-9119-CB96FC8AE0D4}" name="Año 2" dataDxfId="3"/>
    <tableColumn id="5" xr3:uid="{E4763C14-0D4A-49D0-BB35-177D1EC693BB}" name="Año 3" dataDxfId="2"/>
    <tableColumn id="6" xr3:uid="{C5D4880D-5F43-427E-80EA-EE5C0C134D8A}" name="Año 4" dataDxfId="1"/>
    <tableColumn id="7" xr3:uid="{51981605-DE5A-40FA-9C50-515E2E865E6E}" name="Año 5" dataDxfId="0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9.xml"/><Relationship Id="rId3" Type="http://schemas.openxmlformats.org/officeDocument/2006/relationships/table" Target="../tables/table4.xml"/><Relationship Id="rId7" Type="http://schemas.openxmlformats.org/officeDocument/2006/relationships/table" Target="../tables/table8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6" Type="http://schemas.openxmlformats.org/officeDocument/2006/relationships/table" Target="../tables/table7.xml"/><Relationship Id="rId11" Type="http://schemas.openxmlformats.org/officeDocument/2006/relationships/table" Target="../tables/table12.xml"/><Relationship Id="rId5" Type="http://schemas.openxmlformats.org/officeDocument/2006/relationships/table" Target="../tables/table6.xml"/><Relationship Id="rId10" Type="http://schemas.openxmlformats.org/officeDocument/2006/relationships/table" Target="../tables/table11.xml"/><Relationship Id="rId4" Type="http://schemas.openxmlformats.org/officeDocument/2006/relationships/table" Target="../tables/table5.xml"/><Relationship Id="rId9" Type="http://schemas.openxmlformats.org/officeDocument/2006/relationships/table" Target="../tables/table10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0.xml"/><Relationship Id="rId13" Type="http://schemas.openxmlformats.org/officeDocument/2006/relationships/table" Target="../tables/table25.xml"/><Relationship Id="rId3" Type="http://schemas.openxmlformats.org/officeDocument/2006/relationships/table" Target="../tables/table15.xml"/><Relationship Id="rId7" Type="http://schemas.openxmlformats.org/officeDocument/2006/relationships/table" Target="../tables/table19.xml"/><Relationship Id="rId12" Type="http://schemas.openxmlformats.org/officeDocument/2006/relationships/table" Target="../tables/table24.xml"/><Relationship Id="rId2" Type="http://schemas.openxmlformats.org/officeDocument/2006/relationships/table" Target="../tables/table14.xml"/><Relationship Id="rId1" Type="http://schemas.openxmlformats.org/officeDocument/2006/relationships/table" Target="../tables/table13.xml"/><Relationship Id="rId6" Type="http://schemas.openxmlformats.org/officeDocument/2006/relationships/table" Target="../tables/table18.xml"/><Relationship Id="rId11" Type="http://schemas.openxmlformats.org/officeDocument/2006/relationships/table" Target="../tables/table23.xml"/><Relationship Id="rId5" Type="http://schemas.openxmlformats.org/officeDocument/2006/relationships/table" Target="../tables/table17.xml"/><Relationship Id="rId10" Type="http://schemas.openxmlformats.org/officeDocument/2006/relationships/table" Target="../tables/table22.xml"/><Relationship Id="rId4" Type="http://schemas.openxmlformats.org/officeDocument/2006/relationships/table" Target="../tables/table16.xml"/><Relationship Id="rId9" Type="http://schemas.openxmlformats.org/officeDocument/2006/relationships/table" Target="../tables/table2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3.xml"/><Relationship Id="rId13" Type="http://schemas.openxmlformats.org/officeDocument/2006/relationships/table" Target="../tables/table38.xml"/><Relationship Id="rId3" Type="http://schemas.openxmlformats.org/officeDocument/2006/relationships/table" Target="../tables/table28.xml"/><Relationship Id="rId7" Type="http://schemas.openxmlformats.org/officeDocument/2006/relationships/table" Target="../tables/table32.xml"/><Relationship Id="rId12" Type="http://schemas.openxmlformats.org/officeDocument/2006/relationships/table" Target="../tables/table37.xml"/><Relationship Id="rId2" Type="http://schemas.openxmlformats.org/officeDocument/2006/relationships/table" Target="../tables/table27.xml"/><Relationship Id="rId1" Type="http://schemas.openxmlformats.org/officeDocument/2006/relationships/table" Target="../tables/table26.xml"/><Relationship Id="rId6" Type="http://schemas.openxmlformats.org/officeDocument/2006/relationships/table" Target="../tables/table31.xml"/><Relationship Id="rId11" Type="http://schemas.openxmlformats.org/officeDocument/2006/relationships/table" Target="../tables/table36.xml"/><Relationship Id="rId5" Type="http://schemas.openxmlformats.org/officeDocument/2006/relationships/table" Target="../tables/table30.xml"/><Relationship Id="rId15" Type="http://schemas.openxmlformats.org/officeDocument/2006/relationships/table" Target="../tables/table40.xml"/><Relationship Id="rId10" Type="http://schemas.openxmlformats.org/officeDocument/2006/relationships/table" Target="../tables/table35.xml"/><Relationship Id="rId4" Type="http://schemas.openxmlformats.org/officeDocument/2006/relationships/table" Target="../tables/table29.xml"/><Relationship Id="rId9" Type="http://schemas.openxmlformats.org/officeDocument/2006/relationships/table" Target="../tables/table34.xml"/><Relationship Id="rId14" Type="http://schemas.openxmlformats.org/officeDocument/2006/relationships/table" Target="../tables/table39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3.xml"/><Relationship Id="rId2" Type="http://schemas.openxmlformats.org/officeDocument/2006/relationships/table" Target="../tables/table42.xml"/><Relationship Id="rId1" Type="http://schemas.openxmlformats.org/officeDocument/2006/relationships/table" Target="../tables/table41.xml"/><Relationship Id="rId6" Type="http://schemas.openxmlformats.org/officeDocument/2006/relationships/table" Target="../tables/table46.xml"/><Relationship Id="rId5" Type="http://schemas.openxmlformats.org/officeDocument/2006/relationships/table" Target="../tables/table45.xml"/><Relationship Id="rId4" Type="http://schemas.openxmlformats.org/officeDocument/2006/relationships/table" Target="../tables/table4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7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P18"/>
  <sheetViews>
    <sheetView workbookViewId="0">
      <selection activeCell="I21" sqref="I21"/>
    </sheetView>
  </sheetViews>
  <sheetFormatPr baseColWidth="10" defaultColWidth="8.88671875" defaultRowHeight="14.4" x14ac:dyDescent="0.3"/>
  <cols>
    <col min="2" max="2" width="26.5546875" customWidth="1"/>
    <col min="3" max="3" width="11.33203125" customWidth="1"/>
    <col min="4" max="4" width="9.6640625" customWidth="1"/>
    <col min="5" max="5" width="7.77734375" customWidth="1"/>
    <col min="6" max="6" width="10.5546875" customWidth="1"/>
    <col min="9" max="9" width="11.6640625" customWidth="1"/>
    <col min="10" max="10" width="11.33203125" customWidth="1"/>
    <col min="12" max="13" width="5.5546875" customWidth="1"/>
    <col min="15" max="15" width="11.33203125" customWidth="1"/>
    <col min="16" max="16" width="10" customWidth="1"/>
  </cols>
  <sheetData>
    <row r="4" spans="2:16" s="1" customFormat="1" ht="28.8" x14ac:dyDescent="0.3">
      <c r="B4" s="2" t="s">
        <v>0</v>
      </c>
      <c r="C4" s="2" t="s">
        <v>16</v>
      </c>
      <c r="D4" s="2" t="s">
        <v>18</v>
      </c>
      <c r="E4" s="2" t="s">
        <v>19</v>
      </c>
      <c r="F4" s="2" t="s">
        <v>17</v>
      </c>
      <c r="I4" s="55" t="s">
        <v>25</v>
      </c>
      <c r="J4" s="55"/>
      <c r="K4" s="55"/>
      <c r="L4" s="55"/>
      <c r="M4" s="55"/>
      <c r="N4" s="55"/>
      <c r="O4" s="55"/>
      <c r="P4" s="55"/>
    </row>
    <row r="5" spans="2:16" x14ac:dyDescent="0.3">
      <c r="B5" t="s">
        <v>1</v>
      </c>
      <c r="C5" t="s">
        <v>2</v>
      </c>
      <c r="D5" t="s">
        <v>3</v>
      </c>
      <c r="E5" t="s">
        <v>3</v>
      </c>
      <c r="F5" t="s">
        <v>4</v>
      </c>
      <c r="I5" s="4"/>
      <c r="J5" s="4"/>
      <c r="K5" s="4"/>
      <c r="L5" s="56" t="s">
        <v>21</v>
      </c>
      <c r="M5" s="56"/>
      <c r="N5" s="3"/>
      <c r="O5" s="3"/>
      <c r="P5" s="3"/>
    </row>
    <row r="6" spans="2:16" ht="28.8" x14ac:dyDescent="0.3">
      <c r="B6" t="s">
        <v>5</v>
      </c>
      <c r="C6" t="s">
        <v>2</v>
      </c>
      <c r="D6" t="s">
        <v>6</v>
      </c>
      <c r="E6" t="s">
        <v>4</v>
      </c>
      <c r="F6" t="s">
        <v>4</v>
      </c>
      <c r="I6" s="4"/>
      <c r="J6" s="7" t="s">
        <v>26</v>
      </c>
      <c r="K6" s="4"/>
      <c r="L6" s="4"/>
      <c r="M6" s="3"/>
      <c r="N6" s="3"/>
      <c r="O6" s="9" t="s">
        <v>17</v>
      </c>
      <c r="P6" s="3"/>
    </row>
    <row r="7" spans="2:16" x14ac:dyDescent="0.3">
      <c r="B7" t="s">
        <v>7</v>
      </c>
      <c r="C7" t="s">
        <v>2</v>
      </c>
      <c r="D7" t="s">
        <v>6</v>
      </c>
      <c r="E7" t="s">
        <v>4</v>
      </c>
      <c r="F7" t="s">
        <v>4</v>
      </c>
      <c r="I7" s="4"/>
      <c r="J7" s="8" t="s">
        <v>27</v>
      </c>
      <c r="K7" s="4"/>
      <c r="L7" s="4"/>
      <c r="M7" s="3"/>
      <c r="N7" s="3"/>
      <c r="O7" s="3"/>
      <c r="P7" s="3"/>
    </row>
    <row r="8" spans="2:16" x14ac:dyDescent="0.3">
      <c r="B8" t="s">
        <v>8</v>
      </c>
      <c r="C8" t="s">
        <v>2</v>
      </c>
      <c r="D8" t="s">
        <v>3</v>
      </c>
      <c r="E8" t="s">
        <v>3</v>
      </c>
      <c r="F8" t="s">
        <v>4</v>
      </c>
      <c r="I8" s="4"/>
      <c r="J8" s="4"/>
      <c r="K8" s="4"/>
      <c r="L8" s="4"/>
      <c r="M8" s="3"/>
      <c r="N8" s="3"/>
      <c r="O8" s="3"/>
      <c r="P8" s="3"/>
    </row>
    <row r="9" spans="2:16" x14ac:dyDescent="0.3">
      <c r="B9" t="s">
        <v>9</v>
      </c>
      <c r="C9" t="s">
        <v>2</v>
      </c>
      <c r="D9" t="s">
        <v>6</v>
      </c>
      <c r="E9" t="s">
        <v>4</v>
      </c>
      <c r="F9" t="s">
        <v>4</v>
      </c>
      <c r="I9" s="4"/>
      <c r="J9" s="4"/>
      <c r="K9" s="4"/>
      <c r="L9" s="4"/>
      <c r="M9" s="3"/>
      <c r="N9" s="3"/>
      <c r="O9" s="3"/>
      <c r="P9" s="3"/>
    </row>
    <row r="10" spans="2:16" x14ac:dyDescent="0.3">
      <c r="B10" t="s">
        <v>10</v>
      </c>
      <c r="C10" t="s">
        <v>2</v>
      </c>
      <c r="D10" t="s">
        <v>3</v>
      </c>
      <c r="E10" t="s">
        <v>6</v>
      </c>
      <c r="F10" t="s">
        <v>4</v>
      </c>
      <c r="I10" s="4"/>
      <c r="J10" s="4"/>
      <c r="K10" s="4"/>
      <c r="L10" s="4"/>
      <c r="M10" s="3"/>
      <c r="N10" s="3"/>
      <c r="O10" s="3"/>
      <c r="P10" s="3"/>
    </row>
    <row r="11" spans="2:16" x14ac:dyDescent="0.3">
      <c r="B11" t="s">
        <v>11</v>
      </c>
      <c r="C11" t="s">
        <v>2</v>
      </c>
      <c r="D11" t="s">
        <v>3</v>
      </c>
      <c r="E11" t="s">
        <v>4</v>
      </c>
      <c r="F11" t="s">
        <v>6</v>
      </c>
      <c r="I11" s="56" t="s">
        <v>23</v>
      </c>
      <c r="J11" s="4"/>
      <c r="K11" s="4"/>
      <c r="L11" s="4"/>
      <c r="M11" s="3"/>
      <c r="N11" s="3"/>
      <c r="O11" s="3"/>
      <c r="P11" s="56" t="s">
        <v>24</v>
      </c>
    </row>
    <row r="12" spans="2:16" x14ac:dyDescent="0.3">
      <c r="B12" t="s">
        <v>20</v>
      </c>
      <c r="C12" t="s">
        <v>2</v>
      </c>
      <c r="D12" t="s">
        <v>3</v>
      </c>
      <c r="E12" t="s">
        <v>6</v>
      </c>
      <c r="F12" t="s">
        <v>4</v>
      </c>
      <c r="I12" s="56"/>
      <c r="J12" s="6"/>
      <c r="K12" s="6"/>
      <c r="L12" s="6"/>
      <c r="M12" s="5"/>
      <c r="N12" s="5"/>
      <c r="O12" s="5"/>
      <c r="P12" s="56"/>
    </row>
    <row r="13" spans="2:16" x14ac:dyDescent="0.3">
      <c r="B13" t="s">
        <v>12</v>
      </c>
      <c r="C13" t="s">
        <v>2</v>
      </c>
      <c r="D13" t="s">
        <v>4</v>
      </c>
      <c r="E13" t="s">
        <v>3</v>
      </c>
      <c r="F13" t="s">
        <v>4</v>
      </c>
      <c r="I13" s="6"/>
      <c r="J13" s="6"/>
      <c r="K13" s="6"/>
      <c r="L13" s="6"/>
      <c r="M13" s="5"/>
      <c r="N13" s="5"/>
      <c r="O13" s="5"/>
      <c r="P13" s="5"/>
    </row>
    <row r="14" spans="2:16" x14ac:dyDescent="0.3">
      <c r="B14" t="s">
        <v>13</v>
      </c>
      <c r="C14" t="s">
        <v>2</v>
      </c>
      <c r="D14" t="s">
        <v>4</v>
      </c>
      <c r="E14" t="s">
        <v>6</v>
      </c>
      <c r="F14" t="s">
        <v>4</v>
      </c>
      <c r="I14" s="6"/>
      <c r="J14" s="6"/>
      <c r="K14" s="6"/>
      <c r="L14" s="6"/>
      <c r="M14" s="5"/>
      <c r="N14" s="5"/>
      <c r="O14" s="10" t="s">
        <v>16</v>
      </c>
      <c r="P14" s="5"/>
    </row>
    <row r="15" spans="2:16" x14ac:dyDescent="0.3">
      <c r="B15" t="s">
        <v>14</v>
      </c>
      <c r="C15" t="s">
        <v>3</v>
      </c>
      <c r="D15" t="s">
        <v>6</v>
      </c>
      <c r="E15" t="s">
        <v>2</v>
      </c>
      <c r="F15" t="s">
        <v>4</v>
      </c>
      <c r="I15" s="6"/>
      <c r="J15" s="6"/>
      <c r="K15" s="6"/>
      <c r="L15" s="6"/>
      <c r="M15" s="5"/>
      <c r="N15" s="5"/>
      <c r="O15" s="5"/>
      <c r="P15" s="5"/>
    </row>
    <row r="16" spans="2:16" x14ac:dyDescent="0.3">
      <c r="B16" t="s">
        <v>15</v>
      </c>
      <c r="C16" t="s">
        <v>4</v>
      </c>
      <c r="D16" t="s">
        <v>3</v>
      </c>
      <c r="E16" t="s">
        <v>4</v>
      </c>
      <c r="F16" t="s">
        <v>6</v>
      </c>
      <c r="I16" s="6"/>
      <c r="J16" s="6"/>
      <c r="K16" s="6"/>
      <c r="L16" s="6"/>
      <c r="M16" s="5"/>
      <c r="N16" s="5"/>
      <c r="O16" s="5"/>
      <c r="P16" s="5"/>
    </row>
    <row r="17" spans="9:16" x14ac:dyDescent="0.3">
      <c r="I17" s="6"/>
      <c r="J17" s="6"/>
      <c r="K17" s="6"/>
      <c r="L17" s="6"/>
      <c r="M17" s="5"/>
      <c r="N17" s="5"/>
      <c r="O17" s="5"/>
      <c r="P17" s="5"/>
    </row>
    <row r="18" spans="9:16" x14ac:dyDescent="0.3">
      <c r="I18" s="6"/>
      <c r="J18" s="6"/>
      <c r="K18" s="6"/>
      <c r="L18" s="56" t="s">
        <v>22</v>
      </c>
      <c r="M18" s="56"/>
      <c r="N18" s="5"/>
      <c r="O18" s="5"/>
      <c r="P18" s="5"/>
    </row>
  </sheetData>
  <mergeCells count="5">
    <mergeCell ref="I4:P4"/>
    <mergeCell ref="I11:I12"/>
    <mergeCell ref="P11:P12"/>
    <mergeCell ref="L5:M5"/>
    <mergeCell ref="L18:M18"/>
  </mergeCell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83463-80B7-4A80-922E-1A58AC7CE633}">
  <dimension ref="B3:C288"/>
  <sheetViews>
    <sheetView topLeftCell="A79" workbookViewId="0">
      <selection activeCell="B279" sqref="B279:C288"/>
    </sheetView>
  </sheetViews>
  <sheetFormatPr baseColWidth="10" defaultRowHeight="14.4" x14ac:dyDescent="0.3"/>
  <cols>
    <col min="2" max="2" width="8.5546875" bestFit="1" customWidth="1"/>
    <col min="3" max="3" width="58" bestFit="1" customWidth="1"/>
  </cols>
  <sheetData>
    <row r="3" spans="2:3" x14ac:dyDescent="0.3">
      <c r="B3" s="13" t="s">
        <v>28</v>
      </c>
      <c r="C3" s="15" t="s">
        <v>29</v>
      </c>
    </row>
    <row r="4" spans="2:3" x14ac:dyDescent="0.3">
      <c r="B4" s="12" t="s">
        <v>30</v>
      </c>
      <c r="C4" s="11" t="s">
        <v>31</v>
      </c>
    </row>
    <row r="5" spans="2:3" x14ac:dyDescent="0.3">
      <c r="B5" s="12" t="s">
        <v>32</v>
      </c>
      <c r="C5" s="11" t="s">
        <v>33</v>
      </c>
    </row>
    <row r="6" spans="2:3" x14ac:dyDescent="0.3">
      <c r="B6" s="12" t="s">
        <v>34</v>
      </c>
      <c r="C6" s="11" t="s">
        <v>35</v>
      </c>
    </row>
    <row r="7" spans="2:3" x14ac:dyDescent="0.3">
      <c r="B7" s="12" t="s">
        <v>36</v>
      </c>
      <c r="C7" s="11" t="s">
        <v>37</v>
      </c>
    </row>
    <row r="8" spans="2:3" x14ac:dyDescent="0.3">
      <c r="B8" s="57" t="s">
        <v>38</v>
      </c>
      <c r="C8" s="58"/>
    </row>
    <row r="9" spans="2:3" x14ac:dyDescent="0.3">
      <c r="B9" s="12" t="s">
        <v>39</v>
      </c>
      <c r="C9" s="11" t="s">
        <v>40</v>
      </c>
    </row>
    <row r="10" spans="2:3" x14ac:dyDescent="0.3">
      <c r="B10" s="12" t="s">
        <v>41</v>
      </c>
      <c r="C10" s="11" t="s">
        <v>42</v>
      </c>
    </row>
    <row r="11" spans="2:3" x14ac:dyDescent="0.3">
      <c r="B11" s="12" t="s">
        <v>43</v>
      </c>
      <c r="C11" s="11" t="s">
        <v>44</v>
      </c>
    </row>
    <row r="12" spans="2:3" x14ac:dyDescent="0.3">
      <c r="B12" s="12" t="s">
        <v>45</v>
      </c>
      <c r="C12" s="11" t="s">
        <v>46</v>
      </c>
    </row>
    <row r="15" spans="2:3" x14ac:dyDescent="0.3">
      <c r="B15" s="13" t="s">
        <v>28</v>
      </c>
      <c r="C15" s="15" t="s">
        <v>47</v>
      </c>
    </row>
    <row r="16" spans="2:3" x14ac:dyDescent="0.3">
      <c r="B16" s="11" t="s">
        <v>30</v>
      </c>
      <c r="C16" s="11" t="s">
        <v>48</v>
      </c>
    </row>
    <row r="17" spans="2:3" x14ac:dyDescent="0.3">
      <c r="B17" s="11" t="s">
        <v>32</v>
      </c>
      <c r="C17" s="11" t="s">
        <v>33</v>
      </c>
    </row>
    <row r="18" spans="2:3" x14ac:dyDescent="0.3">
      <c r="B18" s="11" t="s">
        <v>34</v>
      </c>
      <c r="C18" s="11" t="s">
        <v>49</v>
      </c>
    </row>
    <row r="19" spans="2:3" x14ac:dyDescent="0.3">
      <c r="B19" s="11" t="s">
        <v>36</v>
      </c>
      <c r="C19" s="11" t="s">
        <v>50</v>
      </c>
    </row>
    <row r="20" spans="2:3" x14ac:dyDescent="0.3">
      <c r="B20" s="57" t="s">
        <v>38</v>
      </c>
      <c r="C20" s="58"/>
    </row>
    <row r="21" spans="2:3" x14ac:dyDescent="0.3">
      <c r="B21" s="11" t="s">
        <v>39</v>
      </c>
      <c r="C21" s="11" t="s">
        <v>51</v>
      </c>
    </row>
    <row r="22" spans="2:3" x14ac:dyDescent="0.3">
      <c r="B22" s="11" t="s">
        <v>41</v>
      </c>
      <c r="C22" s="11" t="s">
        <v>52</v>
      </c>
    </row>
    <row r="23" spans="2:3" x14ac:dyDescent="0.3">
      <c r="B23" s="11" t="s">
        <v>43</v>
      </c>
      <c r="C23" s="11" t="s">
        <v>53</v>
      </c>
    </row>
    <row r="24" spans="2:3" x14ac:dyDescent="0.3">
      <c r="B24" s="11" t="s">
        <v>45</v>
      </c>
      <c r="C24" s="11" t="s">
        <v>54</v>
      </c>
    </row>
    <row r="27" spans="2:3" x14ac:dyDescent="0.3">
      <c r="B27" s="13" t="s">
        <v>28</v>
      </c>
      <c r="C27" s="15" t="s">
        <v>55</v>
      </c>
    </row>
    <row r="28" spans="2:3" x14ac:dyDescent="0.3">
      <c r="B28" s="11" t="s">
        <v>30</v>
      </c>
      <c r="C28" s="11" t="s">
        <v>56</v>
      </c>
    </row>
    <row r="29" spans="2:3" x14ac:dyDescent="0.3">
      <c r="B29" s="11" t="s">
        <v>32</v>
      </c>
      <c r="C29" s="11" t="s">
        <v>33</v>
      </c>
    </row>
    <row r="30" spans="2:3" x14ac:dyDescent="0.3">
      <c r="B30" s="11" t="s">
        <v>34</v>
      </c>
      <c r="C30" s="11" t="s">
        <v>57</v>
      </c>
    </row>
    <row r="31" spans="2:3" x14ac:dyDescent="0.3">
      <c r="B31" s="11" t="s">
        <v>36</v>
      </c>
      <c r="C31" s="11" t="s">
        <v>58</v>
      </c>
    </row>
    <row r="32" spans="2:3" x14ac:dyDescent="0.3">
      <c r="B32" s="57" t="s">
        <v>38</v>
      </c>
      <c r="C32" s="58"/>
    </row>
    <row r="33" spans="2:3" x14ac:dyDescent="0.3">
      <c r="B33" s="11" t="s">
        <v>39</v>
      </c>
      <c r="C33" s="11" t="s">
        <v>59</v>
      </c>
    </row>
    <row r="34" spans="2:3" x14ac:dyDescent="0.3">
      <c r="B34" s="11" t="s">
        <v>41</v>
      </c>
      <c r="C34" s="11" t="s">
        <v>60</v>
      </c>
    </row>
    <row r="35" spans="2:3" x14ac:dyDescent="0.3">
      <c r="B35" s="11" t="s">
        <v>43</v>
      </c>
      <c r="C35" s="11" t="s">
        <v>61</v>
      </c>
    </row>
    <row r="36" spans="2:3" x14ac:dyDescent="0.3">
      <c r="B36" s="11" t="s">
        <v>45</v>
      </c>
      <c r="C36" s="11" t="s">
        <v>62</v>
      </c>
    </row>
    <row r="39" spans="2:3" x14ac:dyDescent="0.3">
      <c r="B39" s="13" t="s">
        <v>28</v>
      </c>
      <c r="C39" s="15" t="s">
        <v>63</v>
      </c>
    </row>
    <row r="40" spans="2:3" x14ac:dyDescent="0.3">
      <c r="B40" s="11" t="s">
        <v>30</v>
      </c>
      <c r="C40" s="11" t="s">
        <v>64</v>
      </c>
    </row>
    <row r="41" spans="2:3" x14ac:dyDescent="0.3">
      <c r="B41" s="11" t="s">
        <v>32</v>
      </c>
      <c r="C41" s="11" t="s">
        <v>33</v>
      </c>
    </row>
    <row r="42" spans="2:3" x14ac:dyDescent="0.3">
      <c r="B42" s="11" t="s">
        <v>34</v>
      </c>
      <c r="C42" s="11" t="s">
        <v>65</v>
      </c>
    </row>
    <row r="43" spans="2:3" x14ac:dyDescent="0.3">
      <c r="B43" s="11" t="s">
        <v>36</v>
      </c>
      <c r="C43" s="11" t="s">
        <v>66</v>
      </c>
    </row>
    <row r="44" spans="2:3" x14ac:dyDescent="0.3">
      <c r="B44" s="57" t="s">
        <v>38</v>
      </c>
      <c r="C44" s="58"/>
    </row>
    <row r="45" spans="2:3" x14ac:dyDescent="0.3">
      <c r="B45" s="11" t="s">
        <v>39</v>
      </c>
      <c r="C45" s="11" t="s">
        <v>67</v>
      </c>
    </row>
    <row r="46" spans="2:3" x14ac:dyDescent="0.3">
      <c r="B46" s="11" t="s">
        <v>41</v>
      </c>
      <c r="C46" s="11" t="s">
        <v>68</v>
      </c>
    </row>
    <row r="47" spans="2:3" x14ac:dyDescent="0.3">
      <c r="B47" s="11" t="s">
        <v>43</v>
      </c>
      <c r="C47" s="11" t="s">
        <v>69</v>
      </c>
    </row>
    <row r="48" spans="2:3" x14ac:dyDescent="0.3">
      <c r="B48" s="11" t="s">
        <v>45</v>
      </c>
      <c r="C48" s="11" t="s">
        <v>70</v>
      </c>
    </row>
    <row r="51" spans="2:3" x14ac:dyDescent="0.3">
      <c r="B51" s="13" t="s">
        <v>28</v>
      </c>
      <c r="C51" s="15" t="s">
        <v>71</v>
      </c>
    </row>
    <row r="52" spans="2:3" x14ac:dyDescent="0.3">
      <c r="B52" s="11" t="s">
        <v>30</v>
      </c>
      <c r="C52" s="11" t="s">
        <v>72</v>
      </c>
    </row>
    <row r="53" spans="2:3" x14ac:dyDescent="0.3">
      <c r="B53" s="11" t="s">
        <v>32</v>
      </c>
      <c r="C53" s="11" t="s">
        <v>33</v>
      </c>
    </row>
    <row r="54" spans="2:3" x14ac:dyDescent="0.3">
      <c r="B54" s="11" t="s">
        <v>34</v>
      </c>
      <c r="C54" s="11" t="s">
        <v>73</v>
      </c>
    </row>
    <row r="55" spans="2:3" x14ac:dyDescent="0.3">
      <c r="B55" s="11" t="s">
        <v>36</v>
      </c>
      <c r="C55" s="11" t="s">
        <v>74</v>
      </c>
    </row>
    <row r="56" spans="2:3" x14ac:dyDescent="0.3">
      <c r="B56" s="57" t="s">
        <v>38</v>
      </c>
      <c r="C56" s="58"/>
    </row>
    <row r="57" spans="2:3" x14ac:dyDescent="0.3">
      <c r="B57" s="11" t="s">
        <v>39</v>
      </c>
      <c r="C57" s="11" t="s">
        <v>75</v>
      </c>
    </row>
    <row r="58" spans="2:3" x14ac:dyDescent="0.3">
      <c r="B58" s="11" t="s">
        <v>41</v>
      </c>
      <c r="C58" s="11" t="s">
        <v>76</v>
      </c>
    </row>
    <row r="59" spans="2:3" x14ac:dyDescent="0.3">
      <c r="B59" s="11" t="s">
        <v>43</v>
      </c>
      <c r="C59" s="11" t="s">
        <v>77</v>
      </c>
    </row>
    <row r="60" spans="2:3" x14ac:dyDescent="0.3">
      <c r="B60" s="11" t="s">
        <v>45</v>
      </c>
      <c r="C60" s="11" t="s">
        <v>78</v>
      </c>
    </row>
    <row r="63" spans="2:3" x14ac:dyDescent="0.3">
      <c r="B63" s="13" t="s">
        <v>28</v>
      </c>
      <c r="C63" s="15" t="s">
        <v>79</v>
      </c>
    </row>
    <row r="64" spans="2:3" x14ac:dyDescent="0.3">
      <c r="B64" s="11" t="s">
        <v>30</v>
      </c>
      <c r="C64" s="11" t="s">
        <v>80</v>
      </c>
    </row>
    <row r="65" spans="2:3" x14ac:dyDescent="0.3">
      <c r="B65" s="11" t="s">
        <v>32</v>
      </c>
      <c r="C65" s="11" t="s">
        <v>33</v>
      </c>
    </row>
    <row r="66" spans="2:3" x14ac:dyDescent="0.3">
      <c r="B66" s="11" t="s">
        <v>34</v>
      </c>
      <c r="C66" s="11" t="s">
        <v>81</v>
      </c>
    </row>
    <row r="67" spans="2:3" x14ac:dyDescent="0.3">
      <c r="B67" s="11" t="s">
        <v>36</v>
      </c>
      <c r="C67" s="11" t="s">
        <v>82</v>
      </c>
    </row>
    <row r="68" spans="2:3" x14ac:dyDescent="0.3">
      <c r="B68" s="57" t="s">
        <v>38</v>
      </c>
      <c r="C68" s="58"/>
    </row>
    <row r="69" spans="2:3" x14ac:dyDescent="0.3">
      <c r="B69" s="11" t="s">
        <v>39</v>
      </c>
      <c r="C69" s="11" t="s">
        <v>83</v>
      </c>
    </row>
    <row r="70" spans="2:3" x14ac:dyDescent="0.3">
      <c r="B70" s="11" t="s">
        <v>41</v>
      </c>
      <c r="C70" s="11" t="s">
        <v>84</v>
      </c>
    </row>
    <row r="71" spans="2:3" x14ac:dyDescent="0.3">
      <c r="B71" s="11" t="s">
        <v>43</v>
      </c>
      <c r="C71" s="11" t="s">
        <v>85</v>
      </c>
    </row>
    <row r="72" spans="2:3" x14ac:dyDescent="0.3">
      <c r="B72" s="11" t="s">
        <v>45</v>
      </c>
      <c r="C72" s="11" t="s">
        <v>86</v>
      </c>
    </row>
    <row r="75" spans="2:3" x14ac:dyDescent="0.3">
      <c r="B75" s="13" t="s">
        <v>28</v>
      </c>
      <c r="C75" s="15" t="s">
        <v>87</v>
      </c>
    </row>
    <row r="76" spans="2:3" x14ac:dyDescent="0.3">
      <c r="B76" s="11" t="s">
        <v>30</v>
      </c>
      <c r="C76" s="11" t="s">
        <v>88</v>
      </c>
    </row>
    <row r="77" spans="2:3" x14ac:dyDescent="0.3">
      <c r="B77" s="11" t="s">
        <v>32</v>
      </c>
      <c r="C77" s="11" t="s">
        <v>33</v>
      </c>
    </row>
    <row r="78" spans="2:3" x14ac:dyDescent="0.3">
      <c r="B78" s="11" t="s">
        <v>34</v>
      </c>
      <c r="C78" s="11" t="s">
        <v>89</v>
      </c>
    </row>
    <row r="79" spans="2:3" x14ac:dyDescent="0.3">
      <c r="B79" s="11" t="s">
        <v>36</v>
      </c>
      <c r="C79" s="11" t="s">
        <v>90</v>
      </c>
    </row>
    <row r="80" spans="2:3" x14ac:dyDescent="0.3">
      <c r="B80" s="57" t="s">
        <v>38</v>
      </c>
      <c r="C80" s="58"/>
    </row>
    <row r="81" spans="2:3" x14ac:dyDescent="0.3">
      <c r="B81" s="11" t="s">
        <v>39</v>
      </c>
      <c r="C81" s="11" t="s">
        <v>91</v>
      </c>
    </row>
    <row r="82" spans="2:3" x14ac:dyDescent="0.3">
      <c r="B82" s="11" t="s">
        <v>41</v>
      </c>
      <c r="C82" s="11" t="s">
        <v>92</v>
      </c>
    </row>
    <row r="83" spans="2:3" x14ac:dyDescent="0.3">
      <c r="B83" s="11" t="s">
        <v>43</v>
      </c>
      <c r="C83" s="11" t="s">
        <v>93</v>
      </c>
    </row>
    <row r="84" spans="2:3" x14ac:dyDescent="0.3">
      <c r="B84" s="11" t="s">
        <v>45</v>
      </c>
      <c r="C84" s="11" t="s">
        <v>94</v>
      </c>
    </row>
    <row r="87" spans="2:3" x14ac:dyDescent="0.3">
      <c r="B87" s="13" t="s">
        <v>28</v>
      </c>
      <c r="C87" s="15" t="s">
        <v>95</v>
      </c>
    </row>
    <row r="88" spans="2:3" x14ac:dyDescent="0.3">
      <c r="B88" s="11" t="s">
        <v>30</v>
      </c>
      <c r="C88" s="11" t="s">
        <v>96</v>
      </c>
    </row>
    <row r="89" spans="2:3" x14ac:dyDescent="0.3">
      <c r="B89" s="11" t="s">
        <v>32</v>
      </c>
      <c r="C89" s="11" t="s">
        <v>33</v>
      </c>
    </row>
    <row r="90" spans="2:3" x14ac:dyDescent="0.3">
      <c r="B90" s="11" t="s">
        <v>34</v>
      </c>
      <c r="C90" s="11" t="s">
        <v>97</v>
      </c>
    </row>
    <row r="91" spans="2:3" x14ac:dyDescent="0.3">
      <c r="B91" s="11" t="s">
        <v>36</v>
      </c>
      <c r="C91" s="11" t="s">
        <v>98</v>
      </c>
    </row>
    <row r="92" spans="2:3" x14ac:dyDescent="0.3">
      <c r="B92" s="57" t="s">
        <v>38</v>
      </c>
      <c r="C92" s="58"/>
    </row>
    <row r="93" spans="2:3" x14ac:dyDescent="0.3">
      <c r="B93" s="11" t="s">
        <v>39</v>
      </c>
      <c r="C93" s="11" t="s">
        <v>99</v>
      </c>
    </row>
    <row r="94" spans="2:3" x14ac:dyDescent="0.3">
      <c r="B94" s="11" t="s">
        <v>41</v>
      </c>
      <c r="C94" s="11" t="s">
        <v>100</v>
      </c>
    </row>
    <row r="95" spans="2:3" x14ac:dyDescent="0.3">
      <c r="B95" s="11" t="s">
        <v>43</v>
      </c>
      <c r="C95" s="11" t="s">
        <v>101</v>
      </c>
    </row>
    <row r="96" spans="2:3" x14ac:dyDescent="0.3">
      <c r="B96" s="11" t="s">
        <v>45</v>
      </c>
      <c r="C96" s="11" t="s">
        <v>102</v>
      </c>
    </row>
    <row r="99" spans="2:3" x14ac:dyDescent="0.3">
      <c r="B99" s="13" t="s">
        <v>28</v>
      </c>
      <c r="C99" s="15" t="s">
        <v>103</v>
      </c>
    </row>
    <row r="100" spans="2:3" x14ac:dyDescent="0.3">
      <c r="B100" s="11" t="s">
        <v>30</v>
      </c>
      <c r="C100" s="11" t="s">
        <v>104</v>
      </c>
    </row>
    <row r="101" spans="2:3" x14ac:dyDescent="0.3">
      <c r="B101" s="11" t="s">
        <v>32</v>
      </c>
      <c r="C101" s="11" t="s">
        <v>33</v>
      </c>
    </row>
    <row r="102" spans="2:3" x14ac:dyDescent="0.3">
      <c r="B102" s="11" t="s">
        <v>34</v>
      </c>
      <c r="C102" s="11" t="s">
        <v>105</v>
      </c>
    </row>
    <row r="103" spans="2:3" x14ac:dyDescent="0.3">
      <c r="B103" s="11" t="s">
        <v>36</v>
      </c>
      <c r="C103" s="11" t="s">
        <v>106</v>
      </c>
    </row>
    <row r="104" spans="2:3" x14ac:dyDescent="0.3">
      <c r="B104" s="57" t="s">
        <v>38</v>
      </c>
      <c r="C104" s="58"/>
    </row>
    <row r="105" spans="2:3" x14ac:dyDescent="0.3">
      <c r="B105" s="11" t="s">
        <v>39</v>
      </c>
      <c r="C105" s="11" t="s">
        <v>107</v>
      </c>
    </row>
    <row r="106" spans="2:3" x14ac:dyDescent="0.3">
      <c r="B106" s="11" t="s">
        <v>41</v>
      </c>
      <c r="C106" s="11" t="s">
        <v>108</v>
      </c>
    </row>
    <row r="107" spans="2:3" x14ac:dyDescent="0.3">
      <c r="B107" s="11" t="s">
        <v>43</v>
      </c>
      <c r="C107" s="11" t="s">
        <v>109</v>
      </c>
    </row>
    <row r="108" spans="2:3" x14ac:dyDescent="0.3">
      <c r="B108" s="11" t="s">
        <v>45</v>
      </c>
      <c r="C108" s="11" t="s">
        <v>110</v>
      </c>
    </row>
    <row r="111" spans="2:3" x14ac:dyDescent="0.3">
      <c r="B111" s="13" t="s">
        <v>28</v>
      </c>
      <c r="C111" s="15" t="s">
        <v>111</v>
      </c>
    </row>
    <row r="112" spans="2:3" x14ac:dyDescent="0.3">
      <c r="B112" s="11" t="s">
        <v>30</v>
      </c>
      <c r="C112" s="11" t="s">
        <v>112</v>
      </c>
    </row>
    <row r="113" spans="2:3" x14ac:dyDescent="0.3">
      <c r="B113" s="11" t="s">
        <v>32</v>
      </c>
      <c r="C113" s="11" t="s">
        <v>33</v>
      </c>
    </row>
    <row r="114" spans="2:3" x14ac:dyDescent="0.3">
      <c r="B114" s="11" t="s">
        <v>34</v>
      </c>
      <c r="C114" s="11" t="s">
        <v>113</v>
      </c>
    </row>
    <row r="115" spans="2:3" x14ac:dyDescent="0.3">
      <c r="B115" s="11" t="s">
        <v>36</v>
      </c>
      <c r="C115" s="11" t="s">
        <v>114</v>
      </c>
    </row>
    <row r="116" spans="2:3" x14ac:dyDescent="0.3">
      <c r="B116" s="57" t="s">
        <v>38</v>
      </c>
      <c r="C116" s="58"/>
    </row>
    <row r="117" spans="2:3" x14ac:dyDescent="0.3">
      <c r="B117" s="11" t="s">
        <v>39</v>
      </c>
      <c r="C117" s="11" t="s">
        <v>115</v>
      </c>
    </row>
    <row r="118" spans="2:3" x14ac:dyDescent="0.3">
      <c r="B118" s="11" t="s">
        <v>41</v>
      </c>
      <c r="C118" s="11" t="s">
        <v>116</v>
      </c>
    </row>
    <row r="119" spans="2:3" x14ac:dyDescent="0.3">
      <c r="B119" s="11" t="s">
        <v>43</v>
      </c>
      <c r="C119" s="11" t="s">
        <v>117</v>
      </c>
    </row>
    <row r="120" spans="2:3" x14ac:dyDescent="0.3">
      <c r="B120" s="11" t="s">
        <v>45</v>
      </c>
      <c r="C120" s="11" t="s">
        <v>118</v>
      </c>
    </row>
    <row r="123" spans="2:3" x14ac:dyDescent="0.3">
      <c r="B123" s="13" t="s">
        <v>28</v>
      </c>
      <c r="C123" s="15" t="s">
        <v>119</v>
      </c>
    </row>
    <row r="124" spans="2:3" x14ac:dyDescent="0.3">
      <c r="B124" s="11" t="s">
        <v>30</v>
      </c>
      <c r="C124" s="11" t="s">
        <v>120</v>
      </c>
    </row>
    <row r="125" spans="2:3" x14ac:dyDescent="0.3">
      <c r="B125" s="11" t="s">
        <v>32</v>
      </c>
      <c r="C125" s="11" t="s">
        <v>33</v>
      </c>
    </row>
    <row r="126" spans="2:3" x14ac:dyDescent="0.3">
      <c r="B126" s="11" t="s">
        <v>34</v>
      </c>
      <c r="C126" s="11" t="s">
        <v>121</v>
      </c>
    </row>
    <row r="127" spans="2:3" x14ac:dyDescent="0.3">
      <c r="B127" s="11" t="s">
        <v>36</v>
      </c>
      <c r="C127" s="11" t="s">
        <v>122</v>
      </c>
    </row>
    <row r="128" spans="2:3" x14ac:dyDescent="0.3">
      <c r="B128" s="57" t="s">
        <v>38</v>
      </c>
      <c r="C128" s="58"/>
    </row>
    <row r="129" spans="2:3" x14ac:dyDescent="0.3">
      <c r="B129" s="11" t="s">
        <v>39</v>
      </c>
      <c r="C129" s="11" t="s">
        <v>123</v>
      </c>
    </row>
    <row r="130" spans="2:3" x14ac:dyDescent="0.3">
      <c r="B130" s="11" t="s">
        <v>41</v>
      </c>
      <c r="C130" s="11" t="s">
        <v>124</v>
      </c>
    </row>
    <row r="131" spans="2:3" x14ac:dyDescent="0.3">
      <c r="B131" s="11" t="s">
        <v>43</v>
      </c>
      <c r="C131" s="11" t="s">
        <v>125</v>
      </c>
    </row>
    <row r="132" spans="2:3" x14ac:dyDescent="0.3">
      <c r="B132" s="11" t="s">
        <v>45</v>
      </c>
      <c r="C132" s="11" t="s">
        <v>126</v>
      </c>
    </row>
    <row r="135" spans="2:3" x14ac:dyDescent="0.3">
      <c r="B135" s="13" t="s">
        <v>28</v>
      </c>
      <c r="C135" s="15" t="s">
        <v>127</v>
      </c>
    </row>
    <row r="136" spans="2:3" x14ac:dyDescent="0.3">
      <c r="B136" s="11" t="s">
        <v>30</v>
      </c>
      <c r="C136" s="11" t="s">
        <v>128</v>
      </c>
    </row>
    <row r="137" spans="2:3" x14ac:dyDescent="0.3">
      <c r="B137" s="11" t="s">
        <v>32</v>
      </c>
      <c r="C137" s="11" t="s">
        <v>33</v>
      </c>
    </row>
    <row r="138" spans="2:3" x14ac:dyDescent="0.3">
      <c r="B138" s="11" t="s">
        <v>34</v>
      </c>
      <c r="C138" s="11" t="s">
        <v>129</v>
      </c>
    </row>
    <row r="139" spans="2:3" x14ac:dyDescent="0.3">
      <c r="B139" s="11" t="s">
        <v>36</v>
      </c>
      <c r="C139" s="11" t="s">
        <v>130</v>
      </c>
    </row>
    <row r="140" spans="2:3" x14ac:dyDescent="0.3">
      <c r="B140" s="57" t="s">
        <v>38</v>
      </c>
      <c r="C140" s="58"/>
    </row>
    <row r="141" spans="2:3" x14ac:dyDescent="0.3">
      <c r="B141" s="11" t="s">
        <v>39</v>
      </c>
      <c r="C141" s="11" t="s">
        <v>131</v>
      </c>
    </row>
    <row r="142" spans="2:3" x14ac:dyDescent="0.3">
      <c r="B142" s="11" t="s">
        <v>41</v>
      </c>
      <c r="C142" s="11" t="s">
        <v>132</v>
      </c>
    </row>
    <row r="143" spans="2:3" x14ac:dyDescent="0.3">
      <c r="B143" s="11" t="s">
        <v>43</v>
      </c>
      <c r="C143" s="11" t="s">
        <v>133</v>
      </c>
    </row>
    <row r="144" spans="2:3" x14ac:dyDescent="0.3">
      <c r="B144" s="11" t="s">
        <v>45</v>
      </c>
      <c r="C144" s="11" t="s">
        <v>134</v>
      </c>
    </row>
    <row r="147" spans="2:3" x14ac:dyDescent="0.3">
      <c r="B147" s="13" t="s">
        <v>28</v>
      </c>
      <c r="C147" s="15" t="s">
        <v>135</v>
      </c>
    </row>
    <row r="148" spans="2:3" x14ac:dyDescent="0.3">
      <c r="B148" s="11" t="s">
        <v>30</v>
      </c>
      <c r="C148" s="11" t="s">
        <v>136</v>
      </c>
    </row>
    <row r="149" spans="2:3" x14ac:dyDescent="0.3">
      <c r="B149" s="11" t="s">
        <v>32</v>
      </c>
      <c r="C149" s="11" t="s">
        <v>137</v>
      </c>
    </row>
    <row r="150" spans="2:3" x14ac:dyDescent="0.3">
      <c r="B150" s="11" t="s">
        <v>34</v>
      </c>
      <c r="C150" s="11" t="s">
        <v>138</v>
      </c>
    </row>
    <row r="151" spans="2:3" x14ac:dyDescent="0.3">
      <c r="B151" s="11" t="s">
        <v>36</v>
      </c>
      <c r="C151" s="11" t="s">
        <v>139</v>
      </c>
    </row>
    <row r="152" spans="2:3" x14ac:dyDescent="0.3">
      <c r="B152" s="57" t="s">
        <v>38</v>
      </c>
      <c r="C152" s="58"/>
    </row>
    <row r="153" spans="2:3" x14ac:dyDescent="0.3">
      <c r="B153" s="11" t="s">
        <v>39</v>
      </c>
      <c r="C153" s="11" t="s">
        <v>140</v>
      </c>
    </row>
    <row r="154" spans="2:3" x14ac:dyDescent="0.3">
      <c r="B154" s="11" t="s">
        <v>41</v>
      </c>
      <c r="C154" s="11" t="s">
        <v>141</v>
      </c>
    </row>
    <row r="155" spans="2:3" x14ac:dyDescent="0.3">
      <c r="B155" s="11" t="s">
        <v>43</v>
      </c>
      <c r="C155" s="11" t="s">
        <v>142</v>
      </c>
    </row>
    <row r="156" spans="2:3" x14ac:dyDescent="0.3">
      <c r="B156" s="11" t="s">
        <v>45</v>
      </c>
      <c r="C156" s="11" t="s">
        <v>143</v>
      </c>
    </row>
    <row r="159" spans="2:3" x14ac:dyDescent="0.3">
      <c r="B159" s="13" t="s">
        <v>28</v>
      </c>
      <c r="C159" s="15" t="s">
        <v>144</v>
      </c>
    </row>
    <row r="160" spans="2:3" x14ac:dyDescent="0.3">
      <c r="B160" s="11" t="s">
        <v>30</v>
      </c>
      <c r="C160" s="11" t="s">
        <v>145</v>
      </c>
    </row>
    <row r="161" spans="2:3" x14ac:dyDescent="0.3">
      <c r="B161" s="11" t="s">
        <v>32</v>
      </c>
      <c r="C161" s="11" t="s">
        <v>137</v>
      </c>
    </row>
    <row r="162" spans="2:3" x14ac:dyDescent="0.3">
      <c r="B162" s="11" t="s">
        <v>34</v>
      </c>
      <c r="C162" s="11" t="s">
        <v>146</v>
      </c>
    </row>
    <row r="163" spans="2:3" x14ac:dyDescent="0.3">
      <c r="B163" s="11" t="s">
        <v>36</v>
      </c>
      <c r="C163" s="11" t="s">
        <v>147</v>
      </c>
    </row>
    <row r="164" spans="2:3" x14ac:dyDescent="0.3">
      <c r="B164" s="57" t="s">
        <v>38</v>
      </c>
      <c r="C164" s="58"/>
    </row>
    <row r="165" spans="2:3" x14ac:dyDescent="0.3">
      <c r="B165" s="11" t="s">
        <v>39</v>
      </c>
      <c r="C165" s="11" t="s">
        <v>148</v>
      </c>
    </row>
    <row r="166" spans="2:3" x14ac:dyDescent="0.3">
      <c r="B166" s="11" t="s">
        <v>41</v>
      </c>
      <c r="C166" s="11" t="s">
        <v>149</v>
      </c>
    </row>
    <row r="167" spans="2:3" x14ac:dyDescent="0.3">
      <c r="B167" s="11" t="s">
        <v>43</v>
      </c>
      <c r="C167" s="11" t="s">
        <v>150</v>
      </c>
    </row>
    <row r="168" spans="2:3" x14ac:dyDescent="0.3">
      <c r="B168" s="11" t="s">
        <v>45</v>
      </c>
      <c r="C168" s="11" t="s">
        <v>151</v>
      </c>
    </row>
    <row r="171" spans="2:3" x14ac:dyDescent="0.3">
      <c r="B171" s="13" t="s">
        <v>28</v>
      </c>
      <c r="C171" s="15" t="s">
        <v>152</v>
      </c>
    </row>
    <row r="172" spans="2:3" x14ac:dyDescent="0.3">
      <c r="B172" s="11" t="s">
        <v>30</v>
      </c>
      <c r="C172" s="11" t="s">
        <v>153</v>
      </c>
    </row>
    <row r="173" spans="2:3" x14ac:dyDescent="0.3">
      <c r="B173" s="11" t="s">
        <v>32</v>
      </c>
      <c r="C173" s="11" t="s">
        <v>137</v>
      </c>
    </row>
    <row r="174" spans="2:3" x14ac:dyDescent="0.3">
      <c r="B174" s="11" t="s">
        <v>34</v>
      </c>
      <c r="C174" s="11" t="s">
        <v>154</v>
      </c>
    </row>
    <row r="175" spans="2:3" x14ac:dyDescent="0.3">
      <c r="B175" s="11" t="s">
        <v>36</v>
      </c>
      <c r="C175" s="11" t="s">
        <v>155</v>
      </c>
    </row>
    <row r="176" spans="2:3" x14ac:dyDescent="0.3">
      <c r="B176" s="57" t="s">
        <v>38</v>
      </c>
      <c r="C176" s="58"/>
    </row>
    <row r="177" spans="2:3" x14ac:dyDescent="0.3">
      <c r="B177" s="11" t="s">
        <v>39</v>
      </c>
      <c r="C177" s="11" t="s">
        <v>156</v>
      </c>
    </row>
    <row r="178" spans="2:3" x14ac:dyDescent="0.3">
      <c r="B178" s="11" t="s">
        <v>41</v>
      </c>
      <c r="C178" s="11" t="s">
        <v>157</v>
      </c>
    </row>
    <row r="179" spans="2:3" x14ac:dyDescent="0.3">
      <c r="B179" s="11" t="s">
        <v>43</v>
      </c>
      <c r="C179" s="11" t="s">
        <v>158</v>
      </c>
    </row>
    <row r="180" spans="2:3" x14ac:dyDescent="0.3">
      <c r="B180" s="11" t="s">
        <v>45</v>
      </c>
      <c r="C180" s="11" t="s">
        <v>159</v>
      </c>
    </row>
    <row r="183" spans="2:3" x14ac:dyDescent="0.3">
      <c r="B183" s="13" t="s">
        <v>28</v>
      </c>
      <c r="C183" s="15" t="s">
        <v>160</v>
      </c>
    </row>
    <row r="184" spans="2:3" x14ac:dyDescent="0.3">
      <c r="B184" s="11" t="s">
        <v>30</v>
      </c>
      <c r="C184" s="11" t="s">
        <v>161</v>
      </c>
    </row>
    <row r="185" spans="2:3" x14ac:dyDescent="0.3">
      <c r="B185" s="11" t="s">
        <v>32</v>
      </c>
      <c r="C185" s="11" t="s">
        <v>137</v>
      </c>
    </row>
    <row r="186" spans="2:3" x14ac:dyDescent="0.3">
      <c r="B186" s="11" t="s">
        <v>34</v>
      </c>
      <c r="C186" s="11" t="s">
        <v>162</v>
      </c>
    </row>
    <row r="187" spans="2:3" x14ac:dyDescent="0.3">
      <c r="B187" s="11" t="s">
        <v>36</v>
      </c>
      <c r="C187" s="11" t="s">
        <v>163</v>
      </c>
    </row>
    <row r="188" spans="2:3" x14ac:dyDescent="0.3">
      <c r="B188" s="57" t="s">
        <v>38</v>
      </c>
      <c r="C188" s="58"/>
    </row>
    <row r="189" spans="2:3" x14ac:dyDescent="0.3">
      <c r="B189" s="11" t="s">
        <v>39</v>
      </c>
      <c r="C189" s="11" t="s">
        <v>164</v>
      </c>
    </row>
    <row r="190" spans="2:3" x14ac:dyDescent="0.3">
      <c r="B190" s="11" t="s">
        <v>41</v>
      </c>
      <c r="C190" s="11" t="s">
        <v>165</v>
      </c>
    </row>
    <row r="191" spans="2:3" x14ac:dyDescent="0.3">
      <c r="B191" s="11" t="s">
        <v>43</v>
      </c>
      <c r="C191" s="11" t="s">
        <v>166</v>
      </c>
    </row>
    <row r="192" spans="2:3" x14ac:dyDescent="0.3">
      <c r="B192" s="11" t="s">
        <v>45</v>
      </c>
      <c r="C192" s="11" t="s">
        <v>167</v>
      </c>
    </row>
    <row r="195" spans="2:3" x14ac:dyDescent="0.3">
      <c r="B195" s="13" t="s">
        <v>28</v>
      </c>
      <c r="C195" s="15" t="s">
        <v>168</v>
      </c>
    </row>
    <row r="196" spans="2:3" x14ac:dyDescent="0.3">
      <c r="B196" s="11" t="s">
        <v>30</v>
      </c>
      <c r="C196" s="11" t="s">
        <v>169</v>
      </c>
    </row>
    <row r="197" spans="2:3" x14ac:dyDescent="0.3">
      <c r="B197" s="11" t="s">
        <v>32</v>
      </c>
      <c r="C197" s="11" t="s">
        <v>33</v>
      </c>
    </row>
    <row r="198" spans="2:3" x14ac:dyDescent="0.3">
      <c r="B198" s="11" t="s">
        <v>34</v>
      </c>
      <c r="C198" s="11" t="s">
        <v>170</v>
      </c>
    </row>
    <row r="199" spans="2:3" x14ac:dyDescent="0.3">
      <c r="B199" s="11" t="s">
        <v>36</v>
      </c>
      <c r="C199" s="11" t="s">
        <v>171</v>
      </c>
    </row>
    <row r="200" spans="2:3" x14ac:dyDescent="0.3">
      <c r="B200" s="57" t="s">
        <v>38</v>
      </c>
      <c r="C200" s="58"/>
    </row>
    <row r="201" spans="2:3" x14ac:dyDescent="0.3">
      <c r="B201" s="11" t="s">
        <v>39</v>
      </c>
      <c r="C201" s="11" t="s">
        <v>172</v>
      </c>
    </row>
    <row r="202" spans="2:3" x14ac:dyDescent="0.3">
      <c r="B202" s="11" t="s">
        <v>41</v>
      </c>
      <c r="C202" s="11" t="s">
        <v>173</v>
      </c>
    </row>
    <row r="203" spans="2:3" x14ac:dyDescent="0.3">
      <c r="B203" s="11" t="s">
        <v>43</v>
      </c>
      <c r="C203" s="11" t="s">
        <v>174</v>
      </c>
    </row>
    <row r="204" spans="2:3" x14ac:dyDescent="0.3">
      <c r="B204" s="11" t="s">
        <v>45</v>
      </c>
      <c r="C204" s="11" t="s">
        <v>175</v>
      </c>
    </row>
    <row r="207" spans="2:3" x14ac:dyDescent="0.3">
      <c r="B207" s="13" t="s">
        <v>28</v>
      </c>
      <c r="C207" s="15" t="s">
        <v>176</v>
      </c>
    </row>
    <row r="208" spans="2:3" x14ac:dyDescent="0.3">
      <c r="B208" s="11" t="s">
        <v>30</v>
      </c>
      <c r="C208" s="11" t="s">
        <v>177</v>
      </c>
    </row>
    <row r="209" spans="2:3" x14ac:dyDescent="0.3">
      <c r="B209" s="11" t="s">
        <v>32</v>
      </c>
      <c r="C209" s="11" t="s">
        <v>178</v>
      </c>
    </row>
    <row r="210" spans="2:3" x14ac:dyDescent="0.3">
      <c r="B210" s="11" t="s">
        <v>34</v>
      </c>
      <c r="C210" s="11" t="s">
        <v>179</v>
      </c>
    </row>
    <row r="211" spans="2:3" x14ac:dyDescent="0.3">
      <c r="B211" s="11" t="s">
        <v>36</v>
      </c>
      <c r="C211" s="11" t="s">
        <v>180</v>
      </c>
    </row>
    <row r="212" spans="2:3" x14ac:dyDescent="0.3">
      <c r="B212" s="57" t="s">
        <v>38</v>
      </c>
      <c r="C212" s="58"/>
    </row>
    <row r="213" spans="2:3" x14ac:dyDescent="0.3">
      <c r="B213" s="11" t="s">
        <v>39</v>
      </c>
      <c r="C213" s="11" t="s">
        <v>181</v>
      </c>
    </row>
    <row r="214" spans="2:3" x14ac:dyDescent="0.3">
      <c r="B214" s="11" t="s">
        <v>41</v>
      </c>
      <c r="C214" s="11" t="s">
        <v>182</v>
      </c>
    </row>
    <row r="215" spans="2:3" x14ac:dyDescent="0.3">
      <c r="B215" s="11" t="s">
        <v>43</v>
      </c>
      <c r="C215" s="11" t="s">
        <v>183</v>
      </c>
    </row>
    <row r="216" spans="2:3" x14ac:dyDescent="0.3">
      <c r="B216" s="11" t="s">
        <v>45</v>
      </c>
      <c r="C216" s="11" t="s">
        <v>184</v>
      </c>
    </row>
    <row r="219" spans="2:3" x14ac:dyDescent="0.3">
      <c r="B219" s="13" t="s">
        <v>28</v>
      </c>
      <c r="C219" s="15" t="s">
        <v>185</v>
      </c>
    </row>
    <row r="220" spans="2:3" x14ac:dyDescent="0.3">
      <c r="B220" s="11" t="s">
        <v>30</v>
      </c>
      <c r="C220" s="11" t="s">
        <v>186</v>
      </c>
    </row>
    <row r="221" spans="2:3" x14ac:dyDescent="0.3">
      <c r="B221" s="11" t="s">
        <v>32</v>
      </c>
      <c r="C221" s="11" t="s">
        <v>33</v>
      </c>
    </row>
    <row r="222" spans="2:3" x14ac:dyDescent="0.3">
      <c r="B222" s="11" t="s">
        <v>34</v>
      </c>
      <c r="C222" s="11" t="s">
        <v>187</v>
      </c>
    </row>
    <row r="223" spans="2:3" x14ac:dyDescent="0.3">
      <c r="B223" s="11" t="s">
        <v>36</v>
      </c>
      <c r="C223" s="11" t="s">
        <v>188</v>
      </c>
    </row>
    <row r="224" spans="2:3" x14ac:dyDescent="0.3">
      <c r="B224" s="57" t="s">
        <v>38</v>
      </c>
      <c r="C224" s="58"/>
    </row>
    <row r="225" spans="2:3" x14ac:dyDescent="0.3">
      <c r="B225" s="11" t="s">
        <v>39</v>
      </c>
      <c r="C225" s="11" t="s">
        <v>189</v>
      </c>
    </row>
    <row r="226" spans="2:3" x14ac:dyDescent="0.3">
      <c r="B226" s="11" t="s">
        <v>41</v>
      </c>
      <c r="C226" s="11" t="s">
        <v>190</v>
      </c>
    </row>
    <row r="227" spans="2:3" x14ac:dyDescent="0.3">
      <c r="B227" s="11" t="s">
        <v>43</v>
      </c>
      <c r="C227" s="11" t="s">
        <v>191</v>
      </c>
    </row>
    <row r="228" spans="2:3" x14ac:dyDescent="0.3">
      <c r="B228" s="11" t="s">
        <v>45</v>
      </c>
      <c r="C228" s="11" t="s">
        <v>192</v>
      </c>
    </row>
    <row r="231" spans="2:3" x14ac:dyDescent="0.3">
      <c r="B231" s="13" t="s">
        <v>28</v>
      </c>
      <c r="C231" s="15" t="s">
        <v>193</v>
      </c>
    </row>
    <row r="232" spans="2:3" x14ac:dyDescent="0.3">
      <c r="B232" s="11" t="s">
        <v>30</v>
      </c>
      <c r="C232" s="11" t="s">
        <v>194</v>
      </c>
    </row>
    <row r="233" spans="2:3" x14ac:dyDescent="0.3">
      <c r="B233" s="11" t="s">
        <v>32</v>
      </c>
      <c r="C233" s="11" t="s">
        <v>195</v>
      </c>
    </row>
    <row r="234" spans="2:3" x14ac:dyDescent="0.3">
      <c r="B234" s="11" t="s">
        <v>34</v>
      </c>
      <c r="C234" s="11" t="s">
        <v>196</v>
      </c>
    </row>
    <row r="235" spans="2:3" x14ac:dyDescent="0.3">
      <c r="B235" s="11" t="s">
        <v>36</v>
      </c>
      <c r="C235" s="11" t="s">
        <v>197</v>
      </c>
    </row>
    <row r="236" spans="2:3" x14ac:dyDescent="0.3">
      <c r="B236" s="57" t="s">
        <v>38</v>
      </c>
      <c r="C236" s="58"/>
    </row>
    <row r="237" spans="2:3" x14ac:dyDescent="0.3">
      <c r="B237" s="11" t="s">
        <v>39</v>
      </c>
      <c r="C237" s="11" t="s">
        <v>198</v>
      </c>
    </row>
    <row r="238" spans="2:3" x14ac:dyDescent="0.3">
      <c r="B238" s="11" t="s">
        <v>41</v>
      </c>
      <c r="C238" s="11" t="s">
        <v>199</v>
      </c>
    </row>
    <row r="239" spans="2:3" x14ac:dyDescent="0.3">
      <c r="B239" s="11" t="s">
        <v>43</v>
      </c>
      <c r="C239" s="11" t="s">
        <v>200</v>
      </c>
    </row>
    <row r="240" spans="2:3" x14ac:dyDescent="0.3">
      <c r="B240" s="11" t="s">
        <v>45</v>
      </c>
      <c r="C240" s="11" t="s">
        <v>201</v>
      </c>
    </row>
    <row r="243" spans="2:3" x14ac:dyDescent="0.3">
      <c r="B243" s="13" t="s">
        <v>28</v>
      </c>
      <c r="C243" s="15" t="s">
        <v>202</v>
      </c>
    </row>
    <row r="244" spans="2:3" x14ac:dyDescent="0.3">
      <c r="B244" s="11" t="s">
        <v>30</v>
      </c>
      <c r="C244" s="11" t="s">
        <v>203</v>
      </c>
    </row>
    <row r="245" spans="2:3" x14ac:dyDescent="0.3">
      <c r="B245" s="11" t="s">
        <v>32</v>
      </c>
      <c r="C245" s="11" t="s">
        <v>195</v>
      </c>
    </row>
    <row r="246" spans="2:3" x14ac:dyDescent="0.3">
      <c r="B246" s="11" t="s">
        <v>34</v>
      </c>
      <c r="C246" s="11" t="s">
        <v>204</v>
      </c>
    </row>
    <row r="247" spans="2:3" x14ac:dyDescent="0.3">
      <c r="B247" s="11" t="s">
        <v>36</v>
      </c>
      <c r="C247" s="11" t="s">
        <v>205</v>
      </c>
    </row>
    <row r="248" spans="2:3" x14ac:dyDescent="0.3">
      <c r="B248" s="57" t="s">
        <v>38</v>
      </c>
      <c r="C248" s="58"/>
    </row>
    <row r="249" spans="2:3" x14ac:dyDescent="0.3">
      <c r="B249" s="11" t="s">
        <v>39</v>
      </c>
      <c r="C249" s="11" t="s">
        <v>206</v>
      </c>
    </row>
    <row r="250" spans="2:3" x14ac:dyDescent="0.3">
      <c r="B250" s="11" t="s">
        <v>41</v>
      </c>
      <c r="C250" s="11" t="s">
        <v>207</v>
      </c>
    </row>
    <row r="251" spans="2:3" x14ac:dyDescent="0.3">
      <c r="B251" s="11" t="s">
        <v>43</v>
      </c>
      <c r="C251" s="11" t="s">
        <v>208</v>
      </c>
    </row>
    <row r="252" spans="2:3" x14ac:dyDescent="0.3">
      <c r="B252" s="11" t="s">
        <v>45</v>
      </c>
      <c r="C252" s="11" t="s">
        <v>209</v>
      </c>
    </row>
    <row r="255" spans="2:3" x14ac:dyDescent="0.3">
      <c r="B255" s="13" t="s">
        <v>28</v>
      </c>
      <c r="C255" s="15" t="s">
        <v>210</v>
      </c>
    </row>
    <row r="256" spans="2:3" x14ac:dyDescent="0.3">
      <c r="B256" s="11" t="s">
        <v>30</v>
      </c>
      <c r="C256" s="11" t="s">
        <v>211</v>
      </c>
    </row>
    <row r="257" spans="2:3" x14ac:dyDescent="0.3">
      <c r="B257" s="11" t="s">
        <v>32</v>
      </c>
      <c r="C257" s="11" t="s">
        <v>195</v>
      </c>
    </row>
    <row r="258" spans="2:3" x14ac:dyDescent="0.3">
      <c r="B258" s="11" t="s">
        <v>34</v>
      </c>
      <c r="C258" s="11" t="s">
        <v>212</v>
      </c>
    </row>
    <row r="259" spans="2:3" x14ac:dyDescent="0.3">
      <c r="B259" s="11" t="s">
        <v>36</v>
      </c>
      <c r="C259" s="11" t="s">
        <v>213</v>
      </c>
    </row>
    <row r="260" spans="2:3" x14ac:dyDescent="0.3">
      <c r="B260" s="57" t="s">
        <v>38</v>
      </c>
      <c r="C260" s="58"/>
    </row>
    <row r="261" spans="2:3" x14ac:dyDescent="0.3">
      <c r="B261" s="11" t="s">
        <v>39</v>
      </c>
      <c r="C261" s="11" t="s">
        <v>214</v>
      </c>
    </row>
    <row r="262" spans="2:3" x14ac:dyDescent="0.3">
      <c r="B262" s="11" t="s">
        <v>41</v>
      </c>
      <c r="C262" s="11" t="s">
        <v>215</v>
      </c>
    </row>
    <row r="263" spans="2:3" x14ac:dyDescent="0.3">
      <c r="B263" s="11" t="s">
        <v>43</v>
      </c>
      <c r="C263" s="11" t="s">
        <v>216</v>
      </c>
    </row>
    <row r="264" spans="2:3" x14ac:dyDescent="0.3">
      <c r="B264" s="11" t="s">
        <v>45</v>
      </c>
      <c r="C264" s="11" t="s">
        <v>217</v>
      </c>
    </row>
    <row r="267" spans="2:3" x14ac:dyDescent="0.3">
      <c r="B267" s="13" t="s">
        <v>28</v>
      </c>
      <c r="C267" s="15" t="s">
        <v>218</v>
      </c>
    </row>
    <row r="268" spans="2:3" x14ac:dyDescent="0.3">
      <c r="B268" s="11" t="s">
        <v>30</v>
      </c>
      <c r="C268" s="11" t="s">
        <v>219</v>
      </c>
    </row>
    <row r="269" spans="2:3" x14ac:dyDescent="0.3">
      <c r="B269" s="11" t="s">
        <v>32</v>
      </c>
      <c r="C269" s="11" t="s">
        <v>33</v>
      </c>
    </row>
    <row r="270" spans="2:3" x14ac:dyDescent="0.3">
      <c r="B270" s="11" t="s">
        <v>34</v>
      </c>
      <c r="C270" s="11" t="s">
        <v>220</v>
      </c>
    </row>
    <row r="271" spans="2:3" x14ac:dyDescent="0.3">
      <c r="B271" s="11" t="s">
        <v>36</v>
      </c>
      <c r="C271" s="11" t="s">
        <v>221</v>
      </c>
    </row>
    <row r="272" spans="2:3" x14ac:dyDescent="0.3">
      <c r="B272" s="57" t="s">
        <v>38</v>
      </c>
      <c r="C272" s="58"/>
    </row>
    <row r="273" spans="2:3" x14ac:dyDescent="0.3">
      <c r="B273" s="11" t="s">
        <v>39</v>
      </c>
      <c r="C273" s="11" t="s">
        <v>222</v>
      </c>
    </row>
    <row r="274" spans="2:3" x14ac:dyDescent="0.3">
      <c r="B274" s="11" t="s">
        <v>41</v>
      </c>
      <c r="C274" s="11" t="s">
        <v>223</v>
      </c>
    </row>
    <row r="275" spans="2:3" x14ac:dyDescent="0.3">
      <c r="B275" s="11" t="s">
        <v>43</v>
      </c>
      <c r="C275" s="11" t="s">
        <v>224</v>
      </c>
    </row>
    <row r="276" spans="2:3" x14ac:dyDescent="0.3">
      <c r="B276" s="11" t="s">
        <v>45</v>
      </c>
      <c r="C276" s="11" t="s">
        <v>225</v>
      </c>
    </row>
    <row r="279" spans="2:3" x14ac:dyDescent="0.3">
      <c r="B279" s="13" t="s">
        <v>28</v>
      </c>
      <c r="C279" s="15" t="s">
        <v>226</v>
      </c>
    </row>
    <row r="280" spans="2:3" x14ac:dyDescent="0.3">
      <c r="B280" s="11" t="s">
        <v>30</v>
      </c>
      <c r="C280" s="11" t="s">
        <v>227</v>
      </c>
    </row>
    <row r="281" spans="2:3" x14ac:dyDescent="0.3">
      <c r="B281" s="11" t="s">
        <v>32</v>
      </c>
      <c r="C281" s="11" t="s">
        <v>228</v>
      </c>
    </row>
    <row r="282" spans="2:3" x14ac:dyDescent="0.3">
      <c r="B282" s="11" t="s">
        <v>34</v>
      </c>
      <c r="C282" s="11" t="s">
        <v>229</v>
      </c>
    </row>
    <row r="283" spans="2:3" x14ac:dyDescent="0.3">
      <c r="B283" s="11" t="s">
        <v>36</v>
      </c>
      <c r="C283" s="11" t="s">
        <v>230</v>
      </c>
    </row>
    <row r="284" spans="2:3" x14ac:dyDescent="0.3">
      <c r="B284" s="57" t="s">
        <v>38</v>
      </c>
      <c r="C284" s="58"/>
    </row>
    <row r="285" spans="2:3" x14ac:dyDescent="0.3">
      <c r="B285" s="11" t="s">
        <v>39</v>
      </c>
      <c r="C285" s="11" t="s">
        <v>231</v>
      </c>
    </row>
    <row r="286" spans="2:3" x14ac:dyDescent="0.3">
      <c r="B286" s="11" t="s">
        <v>41</v>
      </c>
      <c r="C286" s="11" t="s">
        <v>232</v>
      </c>
    </row>
    <row r="287" spans="2:3" x14ac:dyDescent="0.3">
      <c r="B287" s="11" t="s">
        <v>43</v>
      </c>
      <c r="C287" s="11" t="s">
        <v>233</v>
      </c>
    </row>
    <row r="288" spans="2:3" x14ac:dyDescent="0.3">
      <c r="B288" s="11" t="s">
        <v>45</v>
      </c>
      <c r="C288" s="11" t="s">
        <v>234</v>
      </c>
    </row>
  </sheetData>
  <mergeCells count="24">
    <mergeCell ref="B68:C68"/>
    <mergeCell ref="B8:C8"/>
    <mergeCell ref="B20:C20"/>
    <mergeCell ref="B32:C32"/>
    <mergeCell ref="B44:C44"/>
    <mergeCell ref="B56:C56"/>
    <mergeCell ref="B212:C212"/>
    <mergeCell ref="B224:C224"/>
    <mergeCell ref="B80:C80"/>
    <mergeCell ref="B104:C104"/>
    <mergeCell ref="B116:C116"/>
    <mergeCell ref="B128:C128"/>
    <mergeCell ref="B140:C140"/>
    <mergeCell ref="B152:C152"/>
    <mergeCell ref="B92:C92"/>
    <mergeCell ref="B164:C164"/>
    <mergeCell ref="B176:C176"/>
    <mergeCell ref="B188:C188"/>
    <mergeCell ref="B200:C200"/>
    <mergeCell ref="B236:C236"/>
    <mergeCell ref="B248:C248"/>
    <mergeCell ref="B260:C260"/>
    <mergeCell ref="B272:C272"/>
    <mergeCell ref="B284:C28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A44E2-1DD9-4F79-A634-C08D91882097}">
  <dimension ref="B2:C237"/>
  <sheetViews>
    <sheetView topLeftCell="A227" workbookViewId="0">
      <selection activeCell="B200" sqref="B200:C237"/>
    </sheetView>
  </sheetViews>
  <sheetFormatPr baseColWidth="10" defaultRowHeight="14.4" x14ac:dyDescent="0.3"/>
  <cols>
    <col min="2" max="2" width="28.33203125" bestFit="1" customWidth="1"/>
    <col min="3" max="3" width="64.21875" style="1" customWidth="1"/>
  </cols>
  <sheetData>
    <row r="2" spans="2:3" x14ac:dyDescent="0.3">
      <c r="B2" s="13" t="s">
        <v>245</v>
      </c>
      <c r="C2" s="16" t="s">
        <v>444</v>
      </c>
    </row>
    <row r="3" spans="2:3" x14ac:dyDescent="0.3">
      <c r="B3" s="11" t="s">
        <v>30</v>
      </c>
      <c r="C3" s="17" t="s">
        <v>280</v>
      </c>
    </row>
    <row r="4" spans="2:3" x14ac:dyDescent="0.3">
      <c r="B4" s="11" t="s">
        <v>246</v>
      </c>
      <c r="C4" s="17" t="s">
        <v>281</v>
      </c>
    </row>
    <row r="5" spans="2:3" x14ac:dyDescent="0.3">
      <c r="B5" s="11" t="s">
        <v>443</v>
      </c>
      <c r="C5" s="17"/>
    </row>
    <row r="6" spans="2:3" x14ac:dyDescent="0.3">
      <c r="B6" s="11" t="s">
        <v>282</v>
      </c>
      <c r="C6" s="17" t="s">
        <v>283</v>
      </c>
    </row>
    <row r="7" spans="2:3" ht="43.2" x14ac:dyDescent="0.3">
      <c r="B7" s="11" t="s">
        <v>247</v>
      </c>
      <c r="C7" s="17" t="s">
        <v>284</v>
      </c>
    </row>
    <row r="8" spans="2:3" x14ac:dyDescent="0.3">
      <c r="B8" s="59" t="s">
        <v>235</v>
      </c>
      <c r="C8" s="60"/>
    </row>
    <row r="9" spans="2:3" x14ac:dyDescent="0.3">
      <c r="B9" s="11" t="s">
        <v>285</v>
      </c>
      <c r="C9" s="17" t="s">
        <v>286</v>
      </c>
    </row>
    <row r="10" spans="2:3" x14ac:dyDescent="0.3">
      <c r="B10" s="11" t="s">
        <v>287</v>
      </c>
      <c r="C10" s="17" t="s">
        <v>288</v>
      </c>
    </row>
    <row r="11" spans="2:3" x14ac:dyDescent="0.3">
      <c r="B11" s="59" t="s">
        <v>236</v>
      </c>
      <c r="C11" s="60"/>
    </row>
    <row r="12" spans="2:3" x14ac:dyDescent="0.3">
      <c r="B12" s="11" t="s">
        <v>248</v>
      </c>
      <c r="C12" s="17" t="s">
        <v>290</v>
      </c>
    </row>
    <row r="13" spans="2:3" x14ac:dyDescent="0.3">
      <c r="B13" s="11" t="s">
        <v>249</v>
      </c>
      <c r="C13" s="17" t="s">
        <v>291</v>
      </c>
    </row>
    <row r="14" spans="2:3" x14ac:dyDescent="0.3">
      <c r="B14" s="11" t="s">
        <v>250</v>
      </c>
      <c r="C14" s="17" t="s">
        <v>292</v>
      </c>
    </row>
    <row r="15" spans="2:3" ht="28.8" x14ac:dyDescent="0.3">
      <c r="B15" s="11" t="s">
        <v>251</v>
      </c>
      <c r="C15" s="17" t="s">
        <v>293</v>
      </c>
    </row>
    <row r="16" spans="2:3" x14ac:dyDescent="0.3">
      <c r="B16" s="11" t="s">
        <v>252</v>
      </c>
      <c r="C16" s="17" t="s">
        <v>294</v>
      </c>
    </row>
    <row r="17" spans="2:3" x14ac:dyDescent="0.3">
      <c r="B17" s="11" t="s">
        <v>253</v>
      </c>
      <c r="C17" s="17" t="s">
        <v>295</v>
      </c>
    </row>
    <row r="18" spans="2:3" x14ac:dyDescent="0.3">
      <c r="B18" s="11" t="s">
        <v>254</v>
      </c>
      <c r="C18" s="17" t="s">
        <v>296</v>
      </c>
    </row>
    <row r="19" spans="2:3" x14ac:dyDescent="0.3">
      <c r="B19" s="11" t="s">
        <v>255</v>
      </c>
      <c r="C19" s="17" t="s">
        <v>297</v>
      </c>
    </row>
    <row r="20" spans="2:3" x14ac:dyDescent="0.3">
      <c r="B20" s="11" t="s">
        <v>256</v>
      </c>
      <c r="C20" s="17" t="s">
        <v>298</v>
      </c>
    </row>
    <row r="21" spans="2:3" x14ac:dyDescent="0.3">
      <c r="B21" s="59" t="s">
        <v>237</v>
      </c>
      <c r="C21" s="60"/>
    </row>
    <row r="22" spans="2:3" ht="43.2" x14ac:dyDescent="0.3">
      <c r="B22" s="11" t="s">
        <v>257</v>
      </c>
      <c r="C22" s="17" t="s">
        <v>388</v>
      </c>
    </row>
    <row r="23" spans="2:3" ht="43.2" x14ac:dyDescent="0.3">
      <c r="B23" s="11" t="s">
        <v>258</v>
      </c>
      <c r="C23" s="17" t="s">
        <v>389</v>
      </c>
    </row>
    <row r="24" spans="2:3" x14ac:dyDescent="0.3">
      <c r="B24" s="59" t="s">
        <v>238</v>
      </c>
      <c r="C24" s="60"/>
    </row>
    <row r="25" spans="2:3" ht="28.8" x14ac:dyDescent="0.3">
      <c r="B25" s="11" t="s">
        <v>259</v>
      </c>
      <c r="C25" s="17" t="s">
        <v>390</v>
      </c>
    </row>
    <row r="26" spans="2:3" ht="28.8" x14ac:dyDescent="0.3">
      <c r="B26" s="11" t="s">
        <v>260</v>
      </c>
      <c r="C26" s="17" t="s">
        <v>391</v>
      </c>
    </row>
    <row r="27" spans="2:3" x14ac:dyDescent="0.3">
      <c r="B27" s="59" t="s">
        <v>239</v>
      </c>
      <c r="C27" s="60"/>
    </row>
    <row r="28" spans="2:3" x14ac:dyDescent="0.3">
      <c r="B28" s="11" t="s">
        <v>261</v>
      </c>
      <c r="C28" s="17" t="s">
        <v>392</v>
      </c>
    </row>
    <row r="29" spans="2:3" x14ac:dyDescent="0.3">
      <c r="B29" s="11" t="s">
        <v>262</v>
      </c>
      <c r="C29" s="17" t="s">
        <v>393</v>
      </c>
    </row>
    <row r="30" spans="2:3" x14ac:dyDescent="0.3">
      <c r="B30" s="11" t="s">
        <v>263</v>
      </c>
      <c r="C30" s="17" t="s">
        <v>394</v>
      </c>
    </row>
    <row r="31" spans="2:3" x14ac:dyDescent="0.3">
      <c r="B31" s="11" t="s">
        <v>264</v>
      </c>
      <c r="C31" s="17" t="s">
        <v>395</v>
      </c>
    </row>
    <row r="32" spans="2:3" x14ac:dyDescent="0.3">
      <c r="B32" s="11" t="s">
        <v>265</v>
      </c>
      <c r="C32" s="17" t="s">
        <v>396</v>
      </c>
    </row>
    <row r="35" spans="2:3" x14ac:dyDescent="0.3">
      <c r="B35" s="13" t="s">
        <v>245</v>
      </c>
      <c r="C35" s="16" t="s">
        <v>445</v>
      </c>
    </row>
    <row r="36" spans="2:3" x14ac:dyDescent="0.3">
      <c r="B36" s="11" t="s">
        <v>30</v>
      </c>
      <c r="C36" s="17" t="s">
        <v>88</v>
      </c>
    </row>
    <row r="37" spans="2:3" x14ac:dyDescent="0.3">
      <c r="B37" s="11" t="s">
        <v>246</v>
      </c>
      <c r="C37" s="17" t="s">
        <v>281</v>
      </c>
    </row>
    <row r="38" spans="2:3" x14ac:dyDescent="0.3">
      <c r="B38" s="11" t="s">
        <v>443</v>
      </c>
      <c r="C38" s="17"/>
    </row>
    <row r="39" spans="2:3" x14ac:dyDescent="0.3">
      <c r="B39" s="11" t="s">
        <v>282</v>
      </c>
      <c r="C39" s="17" t="s">
        <v>283</v>
      </c>
    </row>
    <row r="40" spans="2:3" ht="28.8" x14ac:dyDescent="0.3">
      <c r="B40" s="11" t="s">
        <v>247</v>
      </c>
      <c r="C40" s="17" t="s">
        <v>299</v>
      </c>
    </row>
    <row r="41" spans="2:3" x14ac:dyDescent="0.3">
      <c r="B41" s="11" t="s">
        <v>235</v>
      </c>
      <c r="C41" s="17"/>
    </row>
    <row r="42" spans="2:3" x14ac:dyDescent="0.3">
      <c r="B42" s="11" t="s">
        <v>285</v>
      </c>
      <c r="C42" s="17" t="s">
        <v>300</v>
      </c>
    </row>
    <row r="43" spans="2:3" x14ac:dyDescent="0.3">
      <c r="B43" s="11" t="s">
        <v>287</v>
      </c>
      <c r="C43" s="17" t="s">
        <v>301</v>
      </c>
    </row>
    <row r="44" spans="2:3" x14ac:dyDescent="0.3">
      <c r="B44" s="59" t="s">
        <v>241</v>
      </c>
      <c r="C44" s="60"/>
    </row>
    <row r="45" spans="2:3" x14ac:dyDescent="0.3">
      <c r="B45" s="11" t="s">
        <v>248</v>
      </c>
      <c r="C45" s="17" t="s">
        <v>302</v>
      </c>
    </row>
    <row r="46" spans="2:3" x14ac:dyDescent="0.3">
      <c r="B46" s="11" t="s">
        <v>249</v>
      </c>
      <c r="C46" s="17" t="s">
        <v>303</v>
      </c>
    </row>
    <row r="47" spans="2:3" x14ac:dyDescent="0.3">
      <c r="B47" s="11" t="s">
        <v>250</v>
      </c>
      <c r="C47" s="17" t="s">
        <v>304</v>
      </c>
    </row>
    <row r="48" spans="2:3" ht="28.8" x14ac:dyDescent="0.3">
      <c r="B48" s="11" t="s">
        <v>251</v>
      </c>
      <c r="C48" s="17" t="s">
        <v>305</v>
      </c>
    </row>
    <row r="49" spans="2:3" x14ac:dyDescent="0.3">
      <c r="B49" s="11" t="s">
        <v>252</v>
      </c>
      <c r="C49" s="17" t="s">
        <v>306</v>
      </c>
    </row>
    <row r="50" spans="2:3" x14ac:dyDescent="0.3">
      <c r="B50" s="11" t="s">
        <v>253</v>
      </c>
      <c r="C50" s="17" t="s">
        <v>307</v>
      </c>
    </row>
    <row r="51" spans="2:3" x14ac:dyDescent="0.3">
      <c r="B51" s="11" t="s">
        <v>254</v>
      </c>
      <c r="C51" s="17" t="s">
        <v>308</v>
      </c>
    </row>
    <row r="52" spans="2:3" x14ac:dyDescent="0.3">
      <c r="B52" s="11" t="s">
        <v>255</v>
      </c>
      <c r="C52" s="17" t="s">
        <v>309</v>
      </c>
    </row>
    <row r="53" spans="2:3" x14ac:dyDescent="0.3">
      <c r="B53" s="59" t="s">
        <v>242</v>
      </c>
      <c r="C53" s="60"/>
    </row>
    <row r="54" spans="2:3" x14ac:dyDescent="0.3">
      <c r="B54" s="11" t="s">
        <v>248</v>
      </c>
      <c r="C54" s="17" t="s">
        <v>310</v>
      </c>
    </row>
    <row r="55" spans="2:3" x14ac:dyDescent="0.3">
      <c r="B55" s="11" t="s">
        <v>249</v>
      </c>
      <c r="C55" s="17" t="s">
        <v>311</v>
      </c>
    </row>
    <row r="56" spans="2:3" x14ac:dyDescent="0.3">
      <c r="B56" s="11" t="s">
        <v>250</v>
      </c>
      <c r="C56" s="17" t="s">
        <v>312</v>
      </c>
    </row>
    <row r="57" spans="2:3" x14ac:dyDescent="0.3">
      <c r="B57" s="11" t="s">
        <v>251</v>
      </c>
      <c r="C57" s="17" t="s">
        <v>313</v>
      </c>
    </row>
    <row r="58" spans="2:3" x14ac:dyDescent="0.3">
      <c r="B58" s="11" t="s">
        <v>252</v>
      </c>
      <c r="C58" s="17" t="s">
        <v>314</v>
      </c>
    </row>
    <row r="59" spans="2:3" x14ac:dyDescent="0.3">
      <c r="B59" s="59" t="s">
        <v>243</v>
      </c>
      <c r="C59" s="60"/>
    </row>
    <row r="60" spans="2:3" x14ac:dyDescent="0.3">
      <c r="B60" s="11" t="s">
        <v>248</v>
      </c>
      <c r="C60" s="17" t="s">
        <v>315</v>
      </c>
    </row>
    <row r="61" spans="2:3" x14ac:dyDescent="0.3">
      <c r="B61" s="11" t="s">
        <v>249</v>
      </c>
      <c r="C61" s="17" t="s">
        <v>316</v>
      </c>
    </row>
    <row r="62" spans="2:3" x14ac:dyDescent="0.3">
      <c r="B62" s="11" t="s">
        <v>250</v>
      </c>
      <c r="C62" s="17" t="s">
        <v>317</v>
      </c>
    </row>
    <row r="63" spans="2:3" x14ac:dyDescent="0.3">
      <c r="B63" s="11" t="s">
        <v>251</v>
      </c>
      <c r="C63" s="17" t="s">
        <v>318</v>
      </c>
    </row>
    <row r="64" spans="2:3" x14ac:dyDescent="0.3">
      <c r="B64" s="11" t="s">
        <v>252</v>
      </c>
      <c r="C64" s="17" t="s">
        <v>319</v>
      </c>
    </row>
    <row r="65" spans="2:3" x14ac:dyDescent="0.3">
      <c r="B65" s="11" t="s">
        <v>253</v>
      </c>
      <c r="C65" s="17" t="s">
        <v>320</v>
      </c>
    </row>
    <row r="66" spans="2:3" x14ac:dyDescent="0.3">
      <c r="B66" s="11" t="s">
        <v>254</v>
      </c>
      <c r="C66" s="17" t="s">
        <v>321</v>
      </c>
    </row>
    <row r="67" spans="2:3" x14ac:dyDescent="0.3">
      <c r="B67" s="59" t="s">
        <v>244</v>
      </c>
      <c r="C67" s="60"/>
    </row>
    <row r="68" spans="2:3" x14ac:dyDescent="0.3">
      <c r="B68" s="11" t="s">
        <v>248</v>
      </c>
      <c r="C68" s="17" t="s">
        <v>322</v>
      </c>
    </row>
    <row r="69" spans="2:3" x14ac:dyDescent="0.3">
      <c r="B69" s="11" t="s">
        <v>249</v>
      </c>
      <c r="C69" s="17" t="s">
        <v>323</v>
      </c>
    </row>
    <row r="70" spans="2:3" x14ac:dyDescent="0.3">
      <c r="B70" s="11" t="s">
        <v>250</v>
      </c>
      <c r="C70" s="17" t="s">
        <v>324</v>
      </c>
    </row>
    <row r="71" spans="2:3" x14ac:dyDescent="0.3">
      <c r="B71" s="11" t="s">
        <v>251</v>
      </c>
      <c r="C71" s="17" t="s">
        <v>325</v>
      </c>
    </row>
    <row r="72" spans="2:3" x14ac:dyDescent="0.3">
      <c r="B72" s="11" t="s">
        <v>252</v>
      </c>
      <c r="C72" s="17" t="s">
        <v>326</v>
      </c>
    </row>
    <row r="73" spans="2:3" x14ac:dyDescent="0.3">
      <c r="B73" s="11" t="s">
        <v>253</v>
      </c>
      <c r="C73" s="17" t="s">
        <v>327</v>
      </c>
    </row>
    <row r="74" spans="2:3" x14ac:dyDescent="0.3">
      <c r="B74" s="59" t="s">
        <v>238</v>
      </c>
      <c r="C74" s="60"/>
    </row>
    <row r="75" spans="2:3" ht="28.8" x14ac:dyDescent="0.3">
      <c r="B75" s="11" t="s">
        <v>259</v>
      </c>
      <c r="C75" s="17" t="s">
        <v>397</v>
      </c>
    </row>
    <row r="76" spans="2:3" ht="28.8" x14ac:dyDescent="0.3">
      <c r="B76" s="11" t="s">
        <v>260</v>
      </c>
      <c r="C76" s="17" t="s">
        <v>398</v>
      </c>
    </row>
    <row r="77" spans="2:3" x14ac:dyDescent="0.3">
      <c r="B77" s="59" t="s">
        <v>239</v>
      </c>
      <c r="C77" s="60"/>
    </row>
    <row r="78" spans="2:3" x14ac:dyDescent="0.3">
      <c r="B78" s="11" t="s">
        <v>261</v>
      </c>
      <c r="C78" s="17" t="s">
        <v>399</v>
      </c>
    </row>
    <row r="79" spans="2:3" x14ac:dyDescent="0.3">
      <c r="B79" s="11" t="s">
        <v>262</v>
      </c>
      <c r="C79" s="17" t="s">
        <v>400</v>
      </c>
    </row>
    <row r="80" spans="2:3" x14ac:dyDescent="0.3">
      <c r="B80" s="11" t="s">
        <v>263</v>
      </c>
      <c r="C80" s="17" t="s">
        <v>401</v>
      </c>
    </row>
    <row r="83" spans="2:3" x14ac:dyDescent="0.3">
      <c r="B83" s="13" t="s">
        <v>245</v>
      </c>
      <c r="C83" s="16" t="s">
        <v>446</v>
      </c>
    </row>
    <row r="84" spans="2:3" x14ac:dyDescent="0.3">
      <c r="B84" s="11" t="s">
        <v>30</v>
      </c>
      <c r="C84" s="17" t="s">
        <v>120</v>
      </c>
    </row>
    <row r="85" spans="2:3" x14ac:dyDescent="0.3">
      <c r="B85" s="11" t="s">
        <v>246</v>
      </c>
      <c r="C85" s="17" t="s">
        <v>281</v>
      </c>
    </row>
    <row r="86" spans="2:3" x14ac:dyDescent="0.3">
      <c r="B86" s="11" t="s">
        <v>443</v>
      </c>
      <c r="C86" s="17"/>
    </row>
    <row r="87" spans="2:3" x14ac:dyDescent="0.3">
      <c r="B87" s="11" t="s">
        <v>282</v>
      </c>
      <c r="C87" s="17" t="s">
        <v>283</v>
      </c>
    </row>
    <row r="88" spans="2:3" ht="43.2" x14ac:dyDescent="0.3">
      <c r="B88" s="11" t="s">
        <v>247</v>
      </c>
      <c r="C88" s="17" t="s">
        <v>328</v>
      </c>
    </row>
    <row r="89" spans="2:3" x14ac:dyDescent="0.3">
      <c r="B89" s="59" t="s">
        <v>235</v>
      </c>
      <c r="C89" s="60"/>
    </row>
    <row r="90" spans="2:3" x14ac:dyDescent="0.3">
      <c r="B90" s="11" t="s">
        <v>285</v>
      </c>
      <c r="C90" s="17" t="s">
        <v>329</v>
      </c>
    </row>
    <row r="91" spans="2:3" x14ac:dyDescent="0.3">
      <c r="B91" s="11" t="s">
        <v>287</v>
      </c>
      <c r="C91" s="17" t="s">
        <v>330</v>
      </c>
    </row>
    <row r="92" spans="2:3" x14ac:dyDescent="0.3">
      <c r="B92" s="11" t="s">
        <v>289</v>
      </c>
      <c r="C92" s="17" t="s">
        <v>331</v>
      </c>
    </row>
    <row r="93" spans="2:3" x14ac:dyDescent="0.3">
      <c r="B93" s="11" t="s">
        <v>332</v>
      </c>
      <c r="C93" s="17" t="s">
        <v>333</v>
      </c>
    </row>
    <row r="94" spans="2:3" x14ac:dyDescent="0.3">
      <c r="B94" s="59" t="s">
        <v>236</v>
      </c>
      <c r="C94" s="60"/>
    </row>
    <row r="95" spans="2:3" x14ac:dyDescent="0.3">
      <c r="B95" s="11" t="s">
        <v>248</v>
      </c>
      <c r="C95" s="17" t="s">
        <v>334</v>
      </c>
    </row>
    <row r="96" spans="2:3" x14ac:dyDescent="0.3">
      <c r="B96" s="11" t="s">
        <v>249</v>
      </c>
      <c r="C96" s="17" t="s">
        <v>335</v>
      </c>
    </row>
    <row r="97" spans="2:3" x14ac:dyDescent="0.3">
      <c r="B97" s="11" t="s">
        <v>250</v>
      </c>
      <c r="C97" s="17" t="s">
        <v>336</v>
      </c>
    </row>
    <row r="98" spans="2:3" x14ac:dyDescent="0.3">
      <c r="B98" s="11" t="s">
        <v>251</v>
      </c>
      <c r="C98" s="17" t="s">
        <v>337</v>
      </c>
    </row>
    <row r="99" spans="2:3" x14ac:dyDescent="0.3">
      <c r="B99" s="11" t="s">
        <v>252</v>
      </c>
      <c r="C99" s="17" t="s">
        <v>338</v>
      </c>
    </row>
    <row r="100" spans="2:3" ht="28.8" x14ac:dyDescent="0.3">
      <c r="B100" s="11" t="s">
        <v>253</v>
      </c>
      <c r="C100" s="17" t="s">
        <v>339</v>
      </c>
    </row>
    <row r="101" spans="2:3" x14ac:dyDescent="0.3">
      <c r="B101" s="11" t="s">
        <v>254</v>
      </c>
      <c r="C101" s="17" t="s">
        <v>340</v>
      </c>
    </row>
    <row r="102" spans="2:3" x14ac:dyDescent="0.3">
      <c r="B102" s="11" t="s">
        <v>255</v>
      </c>
      <c r="C102" s="17" t="s">
        <v>341</v>
      </c>
    </row>
    <row r="103" spans="2:3" x14ac:dyDescent="0.3">
      <c r="B103" s="11" t="s">
        <v>256</v>
      </c>
      <c r="C103" s="17" t="s">
        <v>342</v>
      </c>
    </row>
    <row r="104" spans="2:3" x14ac:dyDescent="0.3">
      <c r="B104" s="11" t="s">
        <v>269</v>
      </c>
      <c r="C104" s="17" t="s">
        <v>270</v>
      </c>
    </row>
    <row r="105" spans="2:3" x14ac:dyDescent="0.3">
      <c r="B105" s="11" t="s">
        <v>271</v>
      </c>
      <c r="C105" s="17" t="s">
        <v>450</v>
      </c>
    </row>
    <row r="106" spans="2:3" x14ac:dyDescent="0.3">
      <c r="B106" s="11" t="s">
        <v>272</v>
      </c>
      <c r="C106" s="17" t="s">
        <v>273</v>
      </c>
    </row>
    <row r="107" spans="2:3" x14ac:dyDescent="0.3">
      <c r="B107" s="59" t="s">
        <v>237</v>
      </c>
      <c r="C107" s="60"/>
    </row>
    <row r="108" spans="2:3" ht="28.8" x14ac:dyDescent="0.3">
      <c r="B108" s="11" t="s">
        <v>257</v>
      </c>
      <c r="C108" s="17" t="s">
        <v>402</v>
      </c>
    </row>
    <row r="109" spans="2:3" ht="28.8" x14ac:dyDescent="0.3">
      <c r="B109" s="11" t="s">
        <v>258</v>
      </c>
      <c r="C109" s="17" t="s">
        <v>403</v>
      </c>
    </row>
    <row r="110" spans="2:3" x14ac:dyDescent="0.3">
      <c r="B110" s="59" t="s">
        <v>238</v>
      </c>
      <c r="C110" s="60"/>
    </row>
    <row r="111" spans="2:3" ht="43.2" x14ac:dyDescent="0.3">
      <c r="B111" s="11" t="s">
        <v>259</v>
      </c>
      <c r="C111" s="17" t="s">
        <v>404</v>
      </c>
    </row>
    <row r="112" spans="2:3" ht="28.8" x14ac:dyDescent="0.3">
      <c r="B112" s="11" t="s">
        <v>260</v>
      </c>
      <c r="C112" s="17" t="s">
        <v>451</v>
      </c>
    </row>
    <row r="113" spans="2:3" x14ac:dyDescent="0.3">
      <c r="B113" s="59" t="s">
        <v>239</v>
      </c>
      <c r="C113" s="60"/>
    </row>
    <row r="114" spans="2:3" x14ac:dyDescent="0.3">
      <c r="B114" s="11" t="s">
        <v>261</v>
      </c>
      <c r="C114" s="17" t="s">
        <v>405</v>
      </c>
    </row>
    <row r="115" spans="2:3" x14ac:dyDescent="0.3">
      <c r="B115" s="11" t="s">
        <v>262</v>
      </c>
      <c r="C115" s="17" t="s">
        <v>406</v>
      </c>
    </row>
    <row r="116" spans="2:3" x14ac:dyDescent="0.3">
      <c r="B116" s="11" t="s">
        <v>263</v>
      </c>
      <c r="C116" s="17" t="s">
        <v>407</v>
      </c>
    </row>
    <row r="117" spans="2:3" x14ac:dyDescent="0.3">
      <c r="B117" s="11" t="s">
        <v>264</v>
      </c>
      <c r="C117" s="17" t="s">
        <v>408</v>
      </c>
    </row>
    <row r="118" spans="2:3" x14ac:dyDescent="0.3">
      <c r="B118" s="11" t="s">
        <v>265</v>
      </c>
      <c r="C118" s="17" t="s">
        <v>409</v>
      </c>
    </row>
    <row r="119" spans="2:3" x14ac:dyDescent="0.3">
      <c r="B119" s="59" t="s">
        <v>240</v>
      </c>
      <c r="C119" s="60"/>
    </row>
    <row r="120" spans="2:3" x14ac:dyDescent="0.3">
      <c r="B120" s="11" t="s">
        <v>266</v>
      </c>
      <c r="C120" s="17" t="s">
        <v>410</v>
      </c>
    </row>
    <row r="121" spans="2:3" x14ac:dyDescent="0.3">
      <c r="B121" s="11" t="s">
        <v>267</v>
      </c>
      <c r="C121" s="17" t="s">
        <v>411</v>
      </c>
    </row>
    <row r="122" spans="2:3" x14ac:dyDescent="0.3">
      <c r="B122" s="11" t="s">
        <v>268</v>
      </c>
      <c r="C122" s="17" t="s">
        <v>412</v>
      </c>
    </row>
    <row r="125" spans="2:3" x14ac:dyDescent="0.3">
      <c r="B125" s="13" t="s">
        <v>245</v>
      </c>
      <c r="C125" s="16" t="s">
        <v>447</v>
      </c>
    </row>
    <row r="126" spans="2:3" x14ac:dyDescent="0.3">
      <c r="B126" s="11" t="s">
        <v>30</v>
      </c>
      <c r="C126" s="17" t="s">
        <v>343</v>
      </c>
    </row>
    <row r="127" spans="2:3" x14ac:dyDescent="0.3">
      <c r="B127" s="11" t="s">
        <v>246</v>
      </c>
      <c r="C127" s="17" t="s">
        <v>281</v>
      </c>
    </row>
    <row r="128" spans="2:3" x14ac:dyDescent="0.3">
      <c r="B128" s="11" t="s">
        <v>443</v>
      </c>
      <c r="C128" s="17"/>
    </row>
    <row r="129" spans="2:3" x14ac:dyDescent="0.3">
      <c r="B129" s="11" t="s">
        <v>282</v>
      </c>
      <c r="C129" s="17" t="s">
        <v>344</v>
      </c>
    </row>
    <row r="130" spans="2:3" ht="43.2" x14ac:dyDescent="0.3">
      <c r="B130" s="11" t="s">
        <v>247</v>
      </c>
      <c r="C130" s="17" t="s">
        <v>345</v>
      </c>
    </row>
    <row r="131" spans="2:3" x14ac:dyDescent="0.3">
      <c r="B131" s="61" t="s">
        <v>235</v>
      </c>
      <c r="C131" s="62"/>
    </row>
    <row r="132" spans="2:3" x14ac:dyDescent="0.3">
      <c r="B132" s="11" t="s">
        <v>285</v>
      </c>
      <c r="C132" s="17" t="s">
        <v>346</v>
      </c>
    </row>
    <row r="133" spans="2:3" x14ac:dyDescent="0.3">
      <c r="B133" s="11" t="s">
        <v>287</v>
      </c>
      <c r="C133" s="17" t="s">
        <v>347</v>
      </c>
    </row>
    <row r="134" spans="2:3" x14ac:dyDescent="0.3">
      <c r="B134" s="11" t="s">
        <v>289</v>
      </c>
      <c r="C134" s="17" t="s">
        <v>348</v>
      </c>
    </row>
    <row r="135" spans="2:3" x14ac:dyDescent="0.3">
      <c r="B135" s="11" t="s">
        <v>332</v>
      </c>
      <c r="C135" s="17" t="s">
        <v>349</v>
      </c>
    </row>
    <row r="136" spans="2:3" x14ac:dyDescent="0.3">
      <c r="B136" s="61" t="s">
        <v>236</v>
      </c>
      <c r="C136" s="62"/>
    </row>
    <row r="137" spans="2:3" x14ac:dyDescent="0.3">
      <c r="B137" s="11" t="s">
        <v>248</v>
      </c>
      <c r="C137" s="17" t="s">
        <v>350</v>
      </c>
    </row>
    <row r="138" spans="2:3" x14ac:dyDescent="0.3">
      <c r="B138" s="11" t="s">
        <v>249</v>
      </c>
      <c r="C138" s="17" t="s">
        <v>351</v>
      </c>
    </row>
    <row r="139" spans="2:3" x14ac:dyDescent="0.3">
      <c r="B139" s="11" t="s">
        <v>250</v>
      </c>
      <c r="C139" s="17" t="s">
        <v>352</v>
      </c>
    </row>
    <row r="140" spans="2:3" ht="28.8" x14ac:dyDescent="0.3">
      <c r="B140" s="11" t="s">
        <v>251</v>
      </c>
      <c r="C140" s="17" t="s">
        <v>353</v>
      </c>
    </row>
    <row r="141" spans="2:3" x14ac:dyDescent="0.3">
      <c r="B141" s="11" t="s">
        <v>252</v>
      </c>
      <c r="C141" s="17" t="s">
        <v>354</v>
      </c>
    </row>
    <row r="142" spans="2:3" x14ac:dyDescent="0.3">
      <c r="B142" s="11" t="s">
        <v>253</v>
      </c>
      <c r="C142" s="17" t="s">
        <v>355</v>
      </c>
    </row>
    <row r="143" spans="2:3" x14ac:dyDescent="0.3">
      <c r="B143" s="11" t="s">
        <v>254</v>
      </c>
      <c r="C143" s="17" t="s">
        <v>356</v>
      </c>
    </row>
    <row r="144" spans="2:3" x14ac:dyDescent="0.3">
      <c r="B144" s="11" t="s">
        <v>255</v>
      </c>
      <c r="C144" s="17" t="s">
        <v>357</v>
      </c>
    </row>
    <row r="145" spans="2:3" x14ac:dyDescent="0.3">
      <c r="B145" s="11" t="s">
        <v>256</v>
      </c>
      <c r="C145" s="17" t="s">
        <v>358</v>
      </c>
    </row>
    <row r="146" spans="2:3" x14ac:dyDescent="0.3">
      <c r="B146" s="11" t="s">
        <v>269</v>
      </c>
      <c r="C146" s="17" t="s">
        <v>274</v>
      </c>
    </row>
    <row r="147" spans="2:3" x14ac:dyDescent="0.3">
      <c r="B147" s="11" t="s">
        <v>271</v>
      </c>
      <c r="C147" s="17" t="s">
        <v>275</v>
      </c>
    </row>
    <row r="148" spans="2:3" x14ac:dyDescent="0.3">
      <c r="B148" s="61" t="s">
        <v>237</v>
      </c>
      <c r="C148" s="62"/>
    </row>
    <row r="149" spans="2:3" ht="28.8" x14ac:dyDescent="0.3">
      <c r="B149" s="11" t="s">
        <v>257</v>
      </c>
      <c r="C149" s="17" t="s">
        <v>413</v>
      </c>
    </row>
    <row r="150" spans="2:3" ht="28.8" x14ac:dyDescent="0.3">
      <c r="B150" s="11" t="s">
        <v>258</v>
      </c>
      <c r="C150" s="17" t="s">
        <v>414</v>
      </c>
    </row>
    <row r="151" spans="2:3" x14ac:dyDescent="0.3">
      <c r="B151" s="61" t="s">
        <v>238</v>
      </c>
      <c r="C151" s="62"/>
    </row>
    <row r="152" spans="2:3" ht="28.8" x14ac:dyDescent="0.3">
      <c r="B152" s="11" t="s">
        <v>259</v>
      </c>
      <c r="C152" s="17" t="s">
        <v>415</v>
      </c>
    </row>
    <row r="153" spans="2:3" ht="28.8" x14ac:dyDescent="0.3">
      <c r="B153" s="11" t="s">
        <v>260</v>
      </c>
      <c r="C153" s="17" t="s">
        <v>416</v>
      </c>
    </row>
    <row r="154" spans="2:3" x14ac:dyDescent="0.3">
      <c r="B154" s="61" t="s">
        <v>239</v>
      </c>
      <c r="C154" s="62"/>
    </row>
    <row r="155" spans="2:3" x14ac:dyDescent="0.3">
      <c r="B155" s="11" t="s">
        <v>261</v>
      </c>
      <c r="C155" s="17" t="s">
        <v>417</v>
      </c>
    </row>
    <row r="156" spans="2:3" x14ac:dyDescent="0.3">
      <c r="B156" s="11" t="s">
        <v>262</v>
      </c>
      <c r="C156" s="17" t="s">
        <v>418</v>
      </c>
    </row>
    <row r="157" spans="2:3" x14ac:dyDescent="0.3">
      <c r="B157" s="11" t="s">
        <v>263</v>
      </c>
      <c r="C157" s="17" t="s">
        <v>419</v>
      </c>
    </row>
    <row r="158" spans="2:3" x14ac:dyDescent="0.3">
      <c r="B158" s="11" t="s">
        <v>264</v>
      </c>
      <c r="C158" s="17" t="s">
        <v>420</v>
      </c>
    </row>
    <row r="159" spans="2:3" x14ac:dyDescent="0.3">
      <c r="B159" s="11" t="s">
        <v>265</v>
      </c>
      <c r="C159" s="17" t="s">
        <v>421</v>
      </c>
    </row>
    <row r="160" spans="2:3" x14ac:dyDescent="0.3">
      <c r="B160" s="11" t="s">
        <v>276</v>
      </c>
      <c r="C160" s="17" t="s">
        <v>422</v>
      </c>
    </row>
    <row r="161" spans="2:3" x14ac:dyDescent="0.3">
      <c r="B161" s="61" t="s">
        <v>240</v>
      </c>
      <c r="C161" s="62"/>
    </row>
    <row r="162" spans="2:3" x14ac:dyDescent="0.3">
      <c r="B162" s="11" t="s">
        <v>266</v>
      </c>
      <c r="C162" s="17" t="s">
        <v>423</v>
      </c>
    </row>
    <row r="163" spans="2:3" x14ac:dyDescent="0.3">
      <c r="B163" s="11" t="s">
        <v>267</v>
      </c>
      <c r="C163" s="17" t="s">
        <v>424</v>
      </c>
    </row>
    <row r="164" spans="2:3" x14ac:dyDescent="0.3">
      <c r="B164" s="11" t="s">
        <v>268</v>
      </c>
      <c r="C164" s="17" t="s">
        <v>425</v>
      </c>
    </row>
    <row r="167" spans="2:3" x14ac:dyDescent="0.3">
      <c r="B167" s="13" t="s">
        <v>245</v>
      </c>
      <c r="C167" s="16" t="s">
        <v>448</v>
      </c>
    </row>
    <row r="168" spans="2:3" x14ac:dyDescent="0.3">
      <c r="B168" s="11" t="s">
        <v>30</v>
      </c>
      <c r="C168" s="17" t="s">
        <v>145</v>
      </c>
    </row>
    <row r="169" spans="2:3" x14ac:dyDescent="0.3">
      <c r="B169" s="11" t="s">
        <v>246</v>
      </c>
      <c r="C169" s="17" t="s">
        <v>359</v>
      </c>
    </row>
    <row r="170" spans="2:3" x14ac:dyDescent="0.3">
      <c r="B170" s="11" t="s">
        <v>443</v>
      </c>
      <c r="C170" s="17"/>
    </row>
    <row r="171" spans="2:3" x14ac:dyDescent="0.3">
      <c r="B171" s="11" t="s">
        <v>282</v>
      </c>
      <c r="C171" s="17" t="s">
        <v>360</v>
      </c>
    </row>
    <row r="172" spans="2:3" ht="43.2" x14ac:dyDescent="0.3">
      <c r="B172" s="11" t="s">
        <v>247</v>
      </c>
      <c r="C172" s="17" t="s">
        <v>361</v>
      </c>
    </row>
    <row r="173" spans="2:3" x14ac:dyDescent="0.3">
      <c r="B173" s="59" t="s">
        <v>235</v>
      </c>
      <c r="C173" s="60"/>
    </row>
    <row r="174" spans="2:3" x14ac:dyDescent="0.3">
      <c r="B174" s="11" t="s">
        <v>285</v>
      </c>
      <c r="C174" s="17" t="s">
        <v>362</v>
      </c>
    </row>
    <row r="175" spans="2:3" x14ac:dyDescent="0.3">
      <c r="B175" s="11" t="s">
        <v>287</v>
      </c>
      <c r="C175" s="17" t="s">
        <v>363</v>
      </c>
    </row>
    <row r="176" spans="2:3" x14ac:dyDescent="0.3">
      <c r="B176" s="11" t="s">
        <v>289</v>
      </c>
      <c r="C176" s="17" t="s">
        <v>364</v>
      </c>
    </row>
    <row r="177" spans="2:3" x14ac:dyDescent="0.3">
      <c r="B177" s="59" t="s">
        <v>236</v>
      </c>
      <c r="C177" s="60"/>
    </row>
    <row r="178" spans="2:3" x14ac:dyDescent="0.3">
      <c r="B178" s="11" t="s">
        <v>248</v>
      </c>
      <c r="C178" s="17" t="s">
        <v>365</v>
      </c>
    </row>
    <row r="179" spans="2:3" x14ac:dyDescent="0.3">
      <c r="B179" s="11" t="s">
        <v>249</v>
      </c>
      <c r="C179" s="17" t="s">
        <v>366</v>
      </c>
    </row>
    <row r="180" spans="2:3" ht="28.8" x14ac:dyDescent="0.3">
      <c r="B180" s="11" t="s">
        <v>250</v>
      </c>
      <c r="C180" s="17" t="s">
        <v>367</v>
      </c>
    </row>
    <row r="181" spans="2:3" x14ac:dyDescent="0.3">
      <c r="B181" s="11" t="s">
        <v>251</v>
      </c>
      <c r="C181" s="17" t="s">
        <v>368</v>
      </c>
    </row>
    <row r="182" spans="2:3" x14ac:dyDescent="0.3">
      <c r="B182" s="11" t="s">
        <v>252</v>
      </c>
      <c r="C182" s="17" t="s">
        <v>369</v>
      </c>
    </row>
    <row r="183" spans="2:3" x14ac:dyDescent="0.3">
      <c r="B183" s="11" t="s">
        <v>253</v>
      </c>
      <c r="C183" s="17" t="s">
        <v>370</v>
      </c>
    </row>
    <row r="184" spans="2:3" ht="28.8" x14ac:dyDescent="0.3">
      <c r="B184" s="11" t="s">
        <v>254</v>
      </c>
      <c r="C184" s="17" t="s">
        <v>371</v>
      </c>
    </row>
    <row r="185" spans="2:3" x14ac:dyDescent="0.3">
      <c r="B185" s="11" t="s">
        <v>255</v>
      </c>
      <c r="C185" s="17" t="s">
        <v>372</v>
      </c>
    </row>
    <row r="186" spans="2:3" x14ac:dyDescent="0.3">
      <c r="B186" s="11" t="s">
        <v>256</v>
      </c>
      <c r="C186" s="17" t="s">
        <v>373</v>
      </c>
    </row>
    <row r="187" spans="2:3" x14ac:dyDescent="0.3">
      <c r="B187" s="11" t="s">
        <v>269</v>
      </c>
      <c r="C187" s="17" t="s">
        <v>277</v>
      </c>
    </row>
    <row r="188" spans="2:3" x14ac:dyDescent="0.3">
      <c r="B188" s="59" t="s">
        <v>237</v>
      </c>
      <c r="C188" s="60"/>
    </row>
    <row r="189" spans="2:3" ht="28.8" x14ac:dyDescent="0.3">
      <c r="B189" s="11" t="s">
        <v>257</v>
      </c>
      <c r="C189" s="17" t="s">
        <v>426</v>
      </c>
    </row>
    <row r="190" spans="2:3" ht="28.8" x14ac:dyDescent="0.3">
      <c r="B190" s="11" t="s">
        <v>258</v>
      </c>
      <c r="C190" s="17" t="s">
        <v>452</v>
      </c>
    </row>
    <row r="191" spans="2:3" x14ac:dyDescent="0.3">
      <c r="B191" s="59" t="s">
        <v>238</v>
      </c>
      <c r="C191" s="60"/>
    </row>
    <row r="192" spans="2:3" ht="28.8" x14ac:dyDescent="0.3">
      <c r="B192" s="11" t="s">
        <v>259</v>
      </c>
      <c r="C192" s="17" t="s">
        <v>427</v>
      </c>
    </row>
    <row r="193" spans="2:3" ht="28.8" x14ac:dyDescent="0.3">
      <c r="B193" s="11" t="s">
        <v>260</v>
      </c>
      <c r="C193" s="17" t="s">
        <v>428</v>
      </c>
    </row>
    <row r="194" spans="2:3" x14ac:dyDescent="0.3">
      <c r="B194" s="59" t="s">
        <v>239</v>
      </c>
      <c r="C194" s="60"/>
    </row>
    <row r="195" spans="2:3" x14ac:dyDescent="0.3">
      <c r="B195" s="11" t="s">
        <v>261</v>
      </c>
      <c r="C195" s="17" t="s">
        <v>429</v>
      </c>
    </row>
    <row r="196" spans="2:3" x14ac:dyDescent="0.3">
      <c r="B196" s="11" t="s">
        <v>262</v>
      </c>
      <c r="C196" s="17" t="s">
        <v>430</v>
      </c>
    </row>
    <row r="197" spans="2:3" x14ac:dyDescent="0.3">
      <c r="B197" s="11" t="s">
        <v>263</v>
      </c>
      <c r="C197" s="17" t="s">
        <v>431</v>
      </c>
    </row>
    <row r="200" spans="2:3" x14ac:dyDescent="0.3">
      <c r="B200" s="13" t="s">
        <v>245</v>
      </c>
      <c r="C200" s="16" t="s">
        <v>449</v>
      </c>
    </row>
    <row r="201" spans="2:3" x14ac:dyDescent="0.3">
      <c r="B201" s="11" t="s">
        <v>30</v>
      </c>
      <c r="C201" s="17" t="s">
        <v>194</v>
      </c>
    </row>
    <row r="202" spans="2:3" x14ac:dyDescent="0.3">
      <c r="B202" s="11" t="s">
        <v>246</v>
      </c>
      <c r="C202" s="17" t="s">
        <v>374</v>
      </c>
    </row>
    <row r="203" spans="2:3" x14ac:dyDescent="0.3">
      <c r="B203" s="11" t="s">
        <v>443</v>
      </c>
      <c r="C203" s="17"/>
    </row>
    <row r="204" spans="2:3" x14ac:dyDescent="0.3">
      <c r="B204" s="11" t="s">
        <v>282</v>
      </c>
      <c r="C204" s="17" t="s">
        <v>375</v>
      </c>
    </row>
    <row r="205" spans="2:3" ht="43.2" x14ac:dyDescent="0.3">
      <c r="B205" s="11" t="s">
        <v>247</v>
      </c>
      <c r="C205" s="17" t="s">
        <v>376</v>
      </c>
    </row>
    <row r="206" spans="2:3" x14ac:dyDescent="0.3">
      <c r="B206" s="59" t="s">
        <v>235</v>
      </c>
      <c r="C206" s="60"/>
    </row>
    <row r="207" spans="2:3" x14ac:dyDescent="0.3">
      <c r="B207" s="11" t="s">
        <v>285</v>
      </c>
      <c r="C207" s="17" t="s">
        <v>377</v>
      </c>
    </row>
    <row r="208" spans="2:3" x14ac:dyDescent="0.3">
      <c r="B208" s="11" t="s">
        <v>287</v>
      </c>
      <c r="C208" s="17" t="s">
        <v>378</v>
      </c>
    </row>
    <row r="209" spans="2:3" x14ac:dyDescent="0.3">
      <c r="B209" s="59" t="s">
        <v>236</v>
      </c>
      <c r="C209" s="60"/>
    </row>
    <row r="210" spans="2:3" x14ac:dyDescent="0.3">
      <c r="B210" s="11" t="s">
        <v>248</v>
      </c>
      <c r="C210" s="17" t="s">
        <v>379</v>
      </c>
    </row>
    <row r="211" spans="2:3" x14ac:dyDescent="0.3">
      <c r="B211" s="11" t="s">
        <v>249</v>
      </c>
      <c r="C211" s="17" t="s">
        <v>380</v>
      </c>
    </row>
    <row r="212" spans="2:3" x14ac:dyDescent="0.3">
      <c r="B212" s="11" t="s">
        <v>250</v>
      </c>
      <c r="C212" s="17" t="s">
        <v>381</v>
      </c>
    </row>
    <row r="213" spans="2:3" ht="28.8" x14ac:dyDescent="0.3">
      <c r="B213" s="11" t="s">
        <v>251</v>
      </c>
      <c r="C213" s="17" t="s">
        <v>382</v>
      </c>
    </row>
    <row r="214" spans="2:3" x14ac:dyDescent="0.3">
      <c r="B214" s="11" t="s">
        <v>252</v>
      </c>
      <c r="C214" s="17" t="s">
        <v>383</v>
      </c>
    </row>
    <row r="215" spans="2:3" x14ac:dyDescent="0.3">
      <c r="B215" s="11" t="s">
        <v>253</v>
      </c>
      <c r="C215" s="17" t="s">
        <v>384</v>
      </c>
    </row>
    <row r="216" spans="2:3" x14ac:dyDescent="0.3">
      <c r="B216" s="11" t="s">
        <v>254</v>
      </c>
      <c r="C216" s="17" t="s">
        <v>385</v>
      </c>
    </row>
    <row r="217" spans="2:3" x14ac:dyDescent="0.3">
      <c r="B217" s="11" t="s">
        <v>255</v>
      </c>
      <c r="C217" s="17" t="s">
        <v>386</v>
      </c>
    </row>
    <row r="218" spans="2:3" x14ac:dyDescent="0.3">
      <c r="B218" s="11" t="s">
        <v>256</v>
      </c>
      <c r="C218" s="17" t="s">
        <v>387</v>
      </c>
    </row>
    <row r="219" spans="2:3" x14ac:dyDescent="0.3">
      <c r="B219" s="11" t="s">
        <v>269</v>
      </c>
      <c r="C219" s="17" t="s">
        <v>278</v>
      </c>
    </row>
    <row r="220" spans="2:3" x14ac:dyDescent="0.3">
      <c r="B220" s="11" t="s">
        <v>271</v>
      </c>
      <c r="C220" s="17" t="s">
        <v>453</v>
      </c>
    </row>
    <row r="221" spans="2:3" x14ac:dyDescent="0.3">
      <c r="B221" s="11" t="s">
        <v>272</v>
      </c>
      <c r="C221" s="17" t="s">
        <v>279</v>
      </c>
    </row>
    <row r="222" spans="2:3" x14ac:dyDescent="0.3">
      <c r="B222" s="59" t="s">
        <v>237</v>
      </c>
      <c r="C222" s="60"/>
    </row>
    <row r="223" spans="2:3" ht="28.8" x14ac:dyDescent="0.3">
      <c r="B223" s="11" t="s">
        <v>257</v>
      </c>
      <c r="C223" s="17" t="s">
        <v>432</v>
      </c>
    </row>
    <row r="224" spans="2:3" ht="28.8" x14ac:dyDescent="0.3">
      <c r="B224" s="11" t="s">
        <v>258</v>
      </c>
      <c r="C224" s="17" t="s">
        <v>433</v>
      </c>
    </row>
    <row r="225" spans="2:3" x14ac:dyDescent="0.3">
      <c r="B225" s="59" t="s">
        <v>238</v>
      </c>
      <c r="C225" s="60"/>
    </row>
    <row r="226" spans="2:3" ht="28.8" x14ac:dyDescent="0.3">
      <c r="B226" s="11" t="s">
        <v>259</v>
      </c>
      <c r="C226" s="17" t="s">
        <v>434</v>
      </c>
    </row>
    <row r="227" spans="2:3" ht="28.8" x14ac:dyDescent="0.3">
      <c r="B227" s="11" t="s">
        <v>260</v>
      </c>
      <c r="C227" s="17" t="s">
        <v>435</v>
      </c>
    </row>
    <row r="228" spans="2:3" x14ac:dyDescent="0.3">
      <c r="B228" s="59" t="s">
        <v>239</v>
      </c>
      <c r="C228" s="60"/>
    </row>
    <row r="229" spans="2:3" x14ac:dyDescent="0.3">
      <c r="B229" s="11" t="s">
        <v>261</v>
      </c>
      <c r="C229" s="17" t="s">
        <v>436</v>
      </c>
    </row>
    <row r="230" spans="2:3" x14ac:dyDescent="0.3">
      <c r="B230" s="11" t="s">
        <v>262</v>
      </c>
      <c r="C230" s="17" t="s">
        <v>437</v>
      </c>
    </row>
    <row r="231" spans="2:3" x14ac:dyDescent="0.3">
      <c r="B231" s="11" t="s">
        <v>263</v>
      </c>
      <c r="C231" s="17" t="s">
        <v>438</v>
      </c>
    </row>
    <row r="232" spans="2:3" x14ac:dyDescent="0.3">
      <c r="B232" s="11" t="s">
        <v>264</v>
      </c>
      <c r="C232" s="17" t="s">
        <v>439</v>
      </c>
    </row>
    <row r="233" spans="2:3" x14ac:dyDescent="0.3">
      <c r="B233" s="11" t="s">
        <v>265</v>
      </c>
      <c r="C233" s="17" t="s">
        <v>454</v>
      </c>
    </row>
    <row r="234" spans="2:3" x14ac:dyDescent="0.3">
      <c r="B234" s="59" t="s">
        <v>240</v>
      </c>
      <c r="C234" s="60"/>
    </row>
    <row r="235" spans="2:3" x14ac:dyDescent="0.3">
      <c r="B235" s="11" t="s">
        <v>266</v>
      </c>
      <c r="C235" s="17" t="s">
        <v>440</v>
      </c>
    </row>
    <row r="236" spans="2:3" x14ac:dyDescent="0.3">
      <c r="B236" s="11" t="s">
        <v>267</v>
      </c>
      <c r="C236" s="17" t="s">
        <v>441</v>
      </c>
    </row>
    <row r="237" spans="2:3" x14ac:dyDescent="0.3">
      <c r="B237" s="11" t="s">
        <v>268</v>
      </c>
      <c r="C237" s="17" t="s">
        <v>442</v>
      </c>
    </row>
  </sheetData>
  <mergeCells count="34">
    <mergeCell ref="B21:C21"/>
    <mergeCell ref="B11:C11"/>
    <mergeCell ref="B77:C77"/>
    <mergeCell ref="B74:C74"/>
    <mergeCell ref="B67:C67"/>
    <mergeCell ref="B59:C59"/>
    <mergeCell ref="B53:C53"/>
    <mergeCell ref="B44:C44"/>
    <mergeCell ref="B107:C107"/>
    <mergeCell ref="B94:C94"/>
    <mergeCell ref="B89:C89"/>
    <mergeCell ref="B27:C27"/>
    <mergeCell ref="B24:C24"/>
    <mergeCell ref="B136:C136"/>
    <mergeCell ref="B131:C131"/>
    <mergeCell ref="B119:C119"/>
    <mergeCell ref="B113:C113"/>
    <mergeCell ref="B110:C110"/>
    <mergeCell ref="B8:C8"/>
    <mergeCell ref="B234:C234"/>
    <mergeCell ref="B228:C228"/>
    <mergeCell ref="B225:C225"/>
    <mergeCell ref="B222:C222"/>
    <mergeCell ref="B209:C209"/>
    <mergeCell ref="B206:C206"/>
    <mergeCell ref="B194:C194"/>
    <mergeCell ref="B191:C191"/>
    <mergeCell ref="B188:C188"/>
    <mergeCell ref="B173:C173"/>
    <mergeCell ref="B177:C177"/>
    <mergeCell ref="B161:C161"/>
    <mergeCell ref="B154:C154"/>
    <mergeCell ref="B151:C151"/>
    <mergeCell ref="B148:C14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394A5-5D34-4E4E-9C1A-B969DDB96C81}">
  <dimension ref="B4:E19"/>
  <sheetViews>
    <sheetView workbookViewId="0">
      <selection activeCell="B4" sqref="B4:E19"/>
    </sheetView>
  </sheetViews>
  <sheetFormatPr baseColWidth="10" defaultRowHeight="14.4" x14ac:dyDescent="0.3"/>
  <cols>
    <col min="2" max="2" width="13.109375" bestFit="1" customWidth="1"/>
    <col min="3" max="3" width="20.44140625" style="1" customWidth="1"/>
    <col min="4" max="4" width="16.21875" style="1" customWidth="1"/>
    <col min="5" max="5" width="30.6640625" style="1" customWidth="1"/>
  </cols>
  <sheetData>
    <row r="4" spans="2:5" ht="28.8" x14ac:dyDescent="0.3">
      <c r="B4" s="14" t="s">
        <v>455</v>
      </c>
      <c r="C4" s="18" t="s">
        <v>456</v>
      </c>
      <c r="D4" s="18" t="s">
        <v>457</v>
      </c>
      <c r="E4" s="18" t="s">
        <v>458</v>
      </c>
    </row>
    <row r="5" spans="2:5" ht="28.8" x14ac:dyDescent="0.3">
      <c r="B5" s="63" t="s">
        <v>459</v>
      </c>
      <c r="C5" s="17" t="s">
        <v>460</v>
      </c>
      <c r="D5" s="17" t="s">
        <v>461</v>
      </c>
      <c r="E5" s="17" t="s">
        <v>462</v>
      </c>
    </row>
    <row r="6" spans="2:5" ht="28.8" x14ac:dyDescent="0.3">
      <c r="B6" s="63"/>
      <c r="C6" s="17" t="s">
        <v>463</v>
      </c>
      <c r="D6" s="17" t="s">
        <v>464</v>
      </c>
      <c r="E6" s="17" t="s">
        <v>465</v>
      </c>
    </row>
    <row r="7" spans="2:5" ht="28.8" x14ac:dyDescent="0.3">
      <c r="B7" s="63"/>
      <c r="C7" s="17" t="s">
        <v>466</v>
      </c>
      <c r="D7" s="17" t="s">
        <v>467</v>
      </c>
      <c r="E7" s="17" t="s">
        <v>468</v>
      </c>
    </row>
    <row r="8" spans="2:5" x14ac:dyDescent="0.3">
      <c r="B8" s="63"/>
      <c r="C8" s="17" t="s">
        <v>469</v>
      </c>
      <c r="D8" s="17" t="s">
        <v>470</v>
      </c>
      <c r="E8" s="17" t="s">
        <v>471</v>
      </c>
    </row>
    <row r="9" spans="2:5" ht="28.8" x14ac:dyDescent="0.3">
      <c r="B9" s="63" t="s">
        <v>472</v>
      </c>
      <c r="C9" s="17" t="s">
        <v>473</v>
      </c>
      <c r="D9" s="17" t="s">
        <v>474</v>
      </c>
      <c r="E9" s="17" t="s">
        <v>475</v>
      </c>
    </row>
    <row r="10" spans="2:5" ht="28.8" x14ac:dyDescent="0.3">
      <c r="B10" s="63"/>
      <c r="C10" s="17" t="s">
        <v>476</v>
      </c>
      <c r="D10" s="17" t="s">
        <v>477</v>
      </c>
      <c r="E10" s="17" t="s">
        <v>478</v>
      </c>
    </row>
    <row r="11" spans="2:5" x14ac:dyDescent="0.3">
      <c r="B11" s="63"/>
      <c r="C11" s="17" t="s">
        <v>479</v>
      </c>
      <c r="D11" s="17" t="s">
        <v>480</v>
      </c>
      <c r="E11" s="17" t="s">
        <v>481</v>
      </c>
    </row>
    <row r="12" spans="2:5" ht="28.8" x14ac:dyDescent="0.3">
      <c r="B12" s="63"/>
      <c r="C12" s="17" t="s">
        <v>482</v>
      </c>
      <c r="D12" s="17" t="s">
        <v>483</v>
      </c>
      <c r="E12" s="17" t="s">
        <v>484</v>
      </c>
    </row>
    <row r="13" spans="2:5" ht="28.8" x14ac:dyDescent="0.3">
      <c r="B13" s="63"/>
      <c r="C13" s="17" t="s">
        <v>485</v>
      </c>
      <c r="D13" s="17" t="s">
        <v>486</v>
      </c>
      <c r="E13" s="17" t="s">
        <v>487</v>
      </c>
    </row>
    <row r="14" spans="2:5" ht="28.8" x14ac:dyDescent="0.3">
      <c r="B14" s="63" t="s">
        <v>488</v>
      </c>
      <c r="C14" s="17" t="s">
        <v>489</v>
      </c>
      <c r="D14" s="17" t="s">
        <v>490</v>
      </c>
      <c r="E14" s="17" t="s">
        <v>491</v>
      </c>
    </row>
    <row r="15" spans="2:5" ht="28.8" x14ac:dyDescent="0.3">
      <c r="B15" s="63"/>
      <c r="C15" s="17" t="s">
        <v>492</v>
      </c>
      <c r="D15" s="17" t="s">
        <v>493</v>
      </c>
      <c r="E15" s="17" t="s">
        <v>494</v>
      </c>
    </row>
    <row r="16" spans="2:5" ht="28.8" x14ac:dyDescent="0.3">
      <c r="B16" s="63"/>
      <c r="C16" s="17" t="s">
        <v>495</v>
      </c>
      <c r="D16" s="17" t="s">
        <v>496</v>
      </c>
      <c r="E16" s="17" t="s">
        <v>497</v>
      </c>
    </row>
    <row r="17" spans="2:5" ht="28.8" x14ac:dyDescent="0.3">
      <c r="B17" s="63" t="s">
        <v>498</v>
      </c>
      <c r="C17" s="17" t="s">
        <v>499</v>
      </c>
      <c r="D17" s="17" t="s">
        <v>500</v>
      </c>
      <c r="E17" s="17" t="s">
        <v>501</v>
      </c>
    </row>
    <row r="18" spans="2:5" ht="28.8" x14ac:dyDescent="0.3">
      <c r="B18" s="63"/>
      <c r="C18" s="17" t="s">
        <v>502</v>
      </c>
      <c r="D18" s="17" t="s">
        <v>503</v>
      </c>
      <c r="E18" s="17" t="s">
        <v>504</v>
      </c>
    </row>
    <row r="19" spans="2:5" ht="28.8" x14ac:dyDescent="0.3">
      <c r="B19" s="63"/>
      <c r="C19" s="17" t="s">
        <v>505</v>
      </c>
      <c r="D19" s="17" t="s">
        <v>506</v>
      </c>
      <c r="E19" s="17" t="s">
        <v>507</v>
      </c>
    </row>
  </sheetData>
  <mergeCells count="5">
    <mergeCell ref="B5:B8"/>
    <mergeCell ref="B9:B11"/>
    <mergeCell ref="B12:B13"/>
    <mergeCell ref="B14:B16"/>
    <mergeCell ref="B17:B1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64364-93D6-4865-829D-03A7C45A4F7B}">
  <dimension ref="B3:K184"/>
  <sheetViews>
    <sheetView topLeftCell="A160" workbookViewId="0">
      <selection activeCell="G170" sqref="G170"/>
    </sheetView>
  </sheetViews>
  <sheetFormatPr baseColWidth="10" defaultRowHeight="14.4" x14ac:dyDescent="0.3"/>
  <cols>
    <col min="2" max="2" width="4.21875" customWidth="1"/>
    <col min="3" max="3" width="11.109375" customWidth="1"/>
    <col min="4" max="4" width="29" customWidth="1"/>
    <col min="5" max="5" width="15" customWidth="1"/>
    <col min="6" max="6" width="11.44140625" customWidth="1"/>
    <col min="7" max="7" width="11.77734375" customWidth="1"/>
    <col min="8" max="8" width="7.21875" customWidth="1"/>
    <col min="9" max="9" width="6.6640625" customWidth="1"/>
    <col min="10" max="10" width="4.6640625" customWidth="1"/>
    <col min="11" max="11" width="5.77734375" bestFit="1" customWidth="1"/>
  </cols>
  <sheetData>
    <row r="3" spans="2:5" ht="72" x14ac:dyDescent="0.3">
      <c r="B3" s="20" t="s">
        <v>508</v>
      </c>
      <c r="C3" s="20" t="s">
        <v>509</v>
      </c>
      <c r="D3" s="20" t="s">
        <v>510</v>
      </c>
      <c r="E3" s="20" t="s">
        <v>511</v>
      </c>
    </row>
    <row r="4" spans="2:5" ht="100.8" x14ac:dyDescent="0.3">
      <c r="B4" s="1" t="s">
        <v>512</v>
      </c>
      <c r="C4" s="1" t="s">
        <v>513</v>
      </c>
      <c r="D4" s="1" t="s">
        <v>514</v>
      </c>
      <c r="E4" s="1" t="s">
        <v>515</v>
      </c>
    </row>
    <row r="5" spans="2:5" ht="100.8" x14ac:dyDescent="0.3">
      <c r="B5" s="1" t="s">
        <v>512</v>
      </c>
      <c r="C5" s="1" t="s">
        <v>516</v>
      </c>
      <c r="D5" s="1" t="s">
        <v>517</v>
      </c>
      <c r="E5" s="1" t="s">
        <v>518</v>
      </c>
    </row>
    <row r="6" spans="2:5" ht="100.8" x14ac:dyDescent="0.3">
      <c r="B6" s="1" t="s">
        <v>512</v>
      </c>
      <c r="C6" s="1" t="s">
        <v>519</v>
      </c>
      <c r="D6" s="1" t="s">
        <v>520</v>
      </c>
      <c r="E6" s="1" t="s">
        <v>521</v>
      </c>
    </row>
    <row r="7" spans="2:5" x14ac:dyDescent="0.3">
      <c r="B7" s="1" t="s">
        <v>522</v>
      </c>
      <c r="C7" s="1" t="s">
        <v>523</v>
      </c>
      <c r="D7" s="1" t="s">
        <v>524</v>
      </c>
      <c r="E7" s="1" t="s">
        <v>525</v>
      </c>
    </row>
    <row r="8" spans="2:5" ht="100.8" x14ac:dyDescent="0.3">
      <c r="B8" s="1" t="s">
        <v>512</v>
      </c>
      <c r="C8" s="1" t="s">
        <v>526</v>
      </c>
      <c r="D8" s="1" t="s">
        <v>527</v>
      </c>
      <c r="E8" s="1" t="s">
        <v>518</v>
      </c>
    </row>
    <row r="9" spans="2:5" ht="158.4" x14ac:dyDescent="0.3">
      <c r="B9" s="1" t="s">
        <v>528</v>
      </c>
      <c r="C9" s="1" t="s">
        <v>529</v>
      </c>
      <c r="D9" s="1" t="s">
        <v>530</v>
      </c>
      <c r="E9" s="1" t="s">
        <v>531</v>
      </c>
    </row>
    <row r="10" spans="2:5" ht="100.8" x14ac:dyDescent="0.3">
      <c r="B10" s="1" t="s">
        <v>532</v>
      </c>
      <c r="C10" s="1" t="s">
        <v>533</v>
      </c>
      <c r="D10" s="1" t="s">
        <v>534</v>
      </c>
      <c r="E10" s="1" t="s">
        <v>535</v>
      </c>
    </row>
    <row r="11" spans="2:5" ht="100.8" x14ac:dyDescent="0.3">
      <c r="B11" s="1" t="s">
        <v>536</v>
      </c>
      <c r="C11" s="1" t="s">
        <v>537</v>
      </c>
      <c r="D11" s="1" t="s">
        <v>538</v>
      </c>
      <c r="E11" s="1" t="s">
        <v>539</v>
      </c>
    </row>
    <row r="12" spans="2:5" ht="57.6" x14ac:dyDescent="0.3">
      <c r="B12" s="1" t="s">
        <v>540</v>
      </c>
      <c r="C12" s="1" t="s">
        <v>541</v>
      </c>
      <c r="D12" s="1" t="s">
        <v>542</v>
      </c>
      <c r="E12" s="1" t="s">
        <v>543</v>
      </c>
    </row>
    <row r="13" spans="2:5" ht="115.2" x14ac:dyDescent="0.3">
      <c r="B13" s="1" t="s">
        <v>544</v>
      </c>
      <c r="C13" s="1" t="s">
        <v>545</v>
      </c>
      <c r="D13" s="1" t="s">
        <v>546</v>
      </c>
      <c r="E13" s="1" t="s">
        <v>547</v>
      </c>
    </row>
    <row r="14" spans="2:5" x14ac:dyDescent="0.3">
      <c r="B14" s="1" t="s">
        <v>548</v>
      </c>
      <c r="C14" s="1" t="s">
        <v>523</v>
      </c>
      <c r="D14" s="1" t="s">
        <v>549</v>
      </c>
      <c r="E14" s="1" t="s">
        <v>550</v>
      </c>
    </row>
    <row r="15" spans="2:5" ht="129.6" x14ac:dyDescent="0.3">
      <c r="B15" s="1" t="s">
        <v>551</v>
      </c>
      <c r="C15" s="1" t="s">
        <v>552</v>
      </c>
      <c r="D15" s="1" t="s">
        <v>553</v>
      </c>
      <c r="E15" s="1" t="s">
        <v>554</v>
      </c>
    </row>
    <row r="16" spans="2:5" ht="57.6" x14ac:dyDescent="0.3">
      <c r="B16" s="1" t="s">
        <v>555</v>
      </c>
      <c r="C16" s="1" t="s">
        <v>556</v>
      </c>
      <c r="D16" s="1" t="s">
        <v>557</v>
      </c>
      <c r="E16" s="1" t="s">
        <v>521</v>
      </c>
    </row>
    <row r="17" spans="2:5" ht="28.8" x14ac:dyDescent="0.3">
      <c r="B17" s="1" t="s">
        <v>558</v>
      </c>
      <c r="C17" s="1" t="s">
        <v>559</v>
      </c>
      <c r="D17" s="1" t="s">
        <v>560</v>
      </c>
      <c r="E17" s="1" t="s">
        <v>550</v>
      </c>
    </row>
    <row r="18" spans="2:5" ht="57.6" x14ac:dyDescent="0.3">
      <c r="B18" s="1" t="s">
        <v>561</v>
      </c>
      <c r="C18" s="1" t="s">
        <v>562</v>
      </c>
      <c r="D18" s="1" t="s">
        <v>563</v>
      </c>
      <c r="E18" s="1" t="s">
        <v>521</v>
      </c>
    </row>
    <row r="19" spans="2:5" x14ac:dyDescent="0.3">
      <c r="D19" t="s">
        <v>564</v>
      </c>
      <c r="E19" t="s">
        <v>565</v>
      </c>
    </row>
    <row r="21" spans="2:5" x14ac:dyDescent="0.3">
      <c r="B21" s="19" t="s">
        <v>508</v>
      </c>
      <c r="C21" s="19" t="s">
        <v>566</v>
      </c>
      <c r="D21" s="19" t="s">
        <v>511</v>
      </c>
    </row>
    <row r="22" spans="2:5" x14ac:dyDescent="0.3">
      <c r="B22" t="s">
        <v>567</v>
      </c>
      <c r="C22" t="s">
        <v>568</v>
      </c>
      <c r="D22" t="s">
        <v>569</v>
      </c>
    </row>
    <row r="23" spans="2:5" x14ac:dyDescent="0.3">
      <c r="B23" t="s">
        <v>570</v>
      </c>
      <c r="C23" t="s">
        <v>571</v>
      </c>
      <c r="D23" t="s">
        <v>572</v>
      </c>
    </row>
    <row r="24" spans="2:5" x14ac:dyDescent="0.3">
      <c r="B24" t="s">
        <v>573</v>
      </c>
      <c r="C24" t="s">
        <v>574</v>
      </c>
      <c r="D24" t="s">
        <v>572</v>
      </c>
    </row>
    <row r="25" spans="2:5" x14ac:dyDescent="0.3">
      <c r="B25" t="s">
        <v>575</v>
      </c>
      <c r="C25" t="s">
        <v>576</v>
      </c>
      <c r="D25" t="s">
        <v>577</v>
      </c>
    </row>
    <row r="26" spans="2:5" x14ac:dyDescent="0.3">
      <c r="B26" t="s">
        <v>532</v>
      </c>
      <c r="C26" t="s">
        <v>578</v>
      </c>
      <c r="D26" t="s">
        <v>515</v>
      </c>
    </row>
    <row r="27" spans="2:5" x14ac:dyDescent="0.3">
      <c r="B27" t="s">
        <v>536</v>
      </c>
      <c r="C27" t="s">
        <v>579</v>
      </c>
      <c r="D27" t="s">
        <v>580</v>
      </c>
    </row>
    <row r="28" spans="2:5" x14ac:dyDescent="0.3">
      <c r="B28" t="s">
        <v>581</v>
      </c>
      <c r="C28" t="s">
        <v>582</v>
      </c>
      <c r="D28" t="s">
        <v>547</v>
      </c>
    </row>
    <row r="29" spans="2:5" x14ac:dyDescent="0.3">
      <c r="B29" t="s">
        <v>583</v>
      </c>
      <c r="C29" t="s">
        <v>584</v>
      </c>
      <c r="D29" t="s">
        <v>585</v>
      </c>
    </row>
    <row r="30" spans="2:5" x14ac:dyDescent="0.3">
      <c r="B30" t="s">
        <v>586</v>
      </c>
      <c r="C30" t="s">
        <v>587</v>
      </c>
      <c r="D30" t="s">
        <v>588</v>
      </c>
    </row>
    <row r="31" spans="2:5" x14ac:dyDescent="0.3">
      <c r="C31" t="s">
        <v>589</v>
      </c>
      <c r="D31" t="s">
        <v>590</v>
      </c>
    </row>
    <row r="33" spans="2:6" x14ac:dyDescent="0.3">
      <c r="B33" s="19" t="s">
        <v>508</v>
      </c>
      <c r="C33" s="19" t="s">
        <v>592</v>
      </c>
      <c r="D33" s="19" t="s">
        <v>511</v>
      </c>
    </row>
    <row r="34" spans="2:6" x14ac:dyDescent="0.3">
      <c r="B34" t="s">
        <v>567</v>
      </c>
      <c r="C34" t="s">
        <v>593</v>
      </c>
      <c r="D34" t="s">
        <v>594</v>
      </c>
    </row>
    <row r="35" spans="2:6" x14ac:dyDescent="0.3">
      <c r="B35" t="s">
        <v>570</v>
      </c>
      <c r="C35" t="s">
        <v>595</v>
      </c>
      <c r="D35" t="s">
        <v>596</v>
      </c>
    </row>
    <row r="36" spans="2:6" x14ac:dyDescent="0.3">
      <c r="B36" t="s">
        <v>573</v>
      </c>
      <c r="C36" t="s">
        <v>595</v>
      </c>
      <c r="D36" t="s">
        <v>596</v>
      </c>
    </row>
    <row r="37" spans="2:6" x14ac:dyDescent="0.3">
      <c r="B37" t="s">
        <v>575</v>
      </c>
      <c r="C37" t="s">
        <v>597</v>
      </c>
      <c r="D37" t="s">
        <v>598</v>
      </c>
    </row>
    <row r="38" spans="2:6" x14ac:dyDescent="0.3">
      <c r="B38" t="s">
        <v>532</v>
      </c>
      <c r="C38" t="s">
        <v>599</v>
      </c>
      <c r="D38" t="s">
        <v>600</v>
      </c>
    </row>
    <row r="39" spans="2:6" x14ac:dyDescent="0.3">
      <c r="B39" t="s">
        <v>536</v>
      </c>
      <c r="C39" t="s">
        <v>601</v>
      </c>
      <c r="D39" t="s">
        <v>602</v>
      </c>
    </row>
    <row r="40" spans="2:6" x14ac:dyDescent="0.3">
      <c r="B40" t="s">
        <v>581</v>
      </c>
      <c r="C40" t="s">
        <v>603</v>
      </c>
      <c r="D40" t="s">
        <v>604</v>
      </c>
    </row>
    <row r="41" spans="2:6" x14ac:dyDescent="0.3">
      <c r="B41" t="s">
        <v>605</v>
      </c>
      <c r="C41" t="s">
        <v>606</v>
      </c>
      <c r="D41" t="s">
        <v>580</v>
      </c>
    </row>
    <row r="42" spans="2:6" x14ac:dyDescent="0.3">
      <c r="B42" t="s">
        <v>607</v>
      </c>
      <c r="C42" t="s">
        <v>608</v>
      </c>
      <c r="D42" t="s">
        <v>515</v>
      </c>
    </row>
    <row r="43" spans="2:6" x14ac:dyDescent="0.3">
      <c r="B43" t="s">
        <v>586</v>
      </c>
      <c r="C43" t="s">
        <v>609</v>
      </c>
      <c r="D43" t="s">
        <v>610</v>
      </c>
    </row>
    <row r="44" spans="2:6" x14ac:dyDescent="0.3">
      <c r="B44" t="s">
        <v>583</v>
      </c>
      <c r="C44" t="s">
        <v>611</v>
      </c>
      <c r="D44" t="s">
        <v>539</v>
      </c>
    </row>
    <row r="45" spans="2:6" x14ac:dyDescent="0.3">
      <c r="C45" t="s">
        <v>612</v>
      </c>
      <c r="D45" t="s">
        <v>613</v>
      </c>
    </row>
    <row r="47" spans="2:6" x14ac:dyDescent="0.3">
      <c r="B47" s="19" t="s">
        <v>614</v>
      </c>
      <c r="C47" s="19" t="s">
        <v>615</v>
      </c>
      <c r="D47" s="19" t="s">
        <v>616</v>
      </c>
      <c r="E47" s="19" t="s">
        <v>617</v>
      </c>
      <c r="F47" s="19" t="s">
        <v>618</v>
      </c>
    </row>
    <row r="48" spans="2:6" x14ac:dyDescent="0.3">
      <c r="B48" t="s">
        <v>619</v>
      </c>
      <c r="C48" t="s">
        <v>620</v>
      </c>
      <c r="D48" t="s">
        <v>621</v>
      </c>
      <c r="E48" t="s">
        <v>622</v>
      </c>
      <c r="F48" t="s">
        <v>623</v>
      </c>
    </row>
    <row r="49" spans="2:6" x14ac:dyDescent="0.3">
      <c r="B49" t="s">
        <v>624</v>
      </c>
      <c r="C49" t="s">
        <v>625</v>
      </c>
      <c r="D49" t="s">
        <v>626</v>
      </c>
      <c r="E49" t="s">
        <v>627</v>
      </c>
      <c r="F49" t="s">
        <v>628</v>
      </c>
    </row>
    <row r="50" spans="2:6" x14ac:dyDescent="0.3">
      <c r="B50" t="s">
        <v>629</v>
      </c>
      <c r="C50" t="s">
        <v>630</v>
      </c>
      <c r="D50" t="s">
        <v>631</v>
      </c>
      <c r="E50" t="s">
        <v>632</v>
      </c>
      <c r="F50" t="s">
        <v>633</v>
      </c>
    </row>
    <row r="53" spans="2:6" x14ac:dyDescent="0.3">
      <c r="B53" s="19" t="s">
        <v>591</v>
      </c>
      <c r="C53" s="19" t="s">
        <v>634</v>
      </c>
      <c r="D53" s="19" t="s">
        <v>635</v>
      </c>
      <c r="E53" s="19" t="s">
        <v>636</v>
      </c>
    </row>
    <row r="54" spans="2:6" x14ac:dyDescent="0.3">
      <c r="B54" t="s">
        <v>637</v>
      </c>
      <c r="C54" t="s">
        <v>638</v>
      </c>
      <c r="D54" t="s">
        <v>639</v>
      </c>
      <c r="E54" t="s">
        <v>640</v>
      </c>
    </row>
    <row r="55" spans="2:6" x14ac:dyDescent="0.3">
      <c r="B55" t="s">
        <v>641</v>
      </c>
      <c r="C55" t="s">
        <v>642</v>
      </c>
      <c r="D55" t="s">
        <v>643</v>
      </c>
      <c r="E55" t="s">
        <v>644</v>
      </c>
    </row>
    <row r="56" spans="2:6" x14ac:dyDescent="0.3">
      <c r="B56" t="s">
        <v>645</v>
      </c>
      <c r="C56" t="s">
        <v>646</v>
      </c>
      <c r="D56" t="s">
        <v>647</v>
      </c>
      <c r="E56" t="s">
        <v>648</v>
      </c>
    </row>
    <row r="57" spans="2:6" x14ac:dyDescent="0.3">
      <c r="B57" t="s">
        <v>649</v>
      </c>
      <c r="C57" t="s">
        <v>650</v>
      </c>
      <c r="D57" t="s">
        <v>651</v>
      </c>
      <c r="E57" t="s">
        <v>652</v>
      </c>
    </row>
    <row r="58" spans="2:6" x14ac:dyDescent="0.3">
      <c r="B58" t="s">
        <v>653</v>
      </c>
      <c r="C58" t="s">
        <v>654</v>
      </c>
      <c r="D58" t="s">
        <v>654</v>
      </c>
      <c r="E58" t="s">
        <v>654</v>
      </c>
    </row>
    <row r="59" spans="2:6" x14ac:dyDescent="0.3">
      <c r="B59" t="s">
        <v>655</v>
      </c>
      <c r="C59" t="s">
        <v>654</v>
      </c>
      <c r="D59" t="s">
        <v>654</v>
      </c>
      <c r="E59" t="s">
        <v>654</v>
      </c>
    </row>
    <row r="60" spans="2:6" x14ac:dyDescent="0.3">
      <c r="B60" t="s">
        <v>656</v>
      </c>
      <c r="C60" t="s">
        <v>657</v>
      </c>
      <c r="D60" t="s">
        <v>654</v>
      </c>
      <c r="E60" t="s">
        <v>654</v>
      </c>
    </row>
    <row r="61" spans="2:6" x14ac:dyDescent="0.3">
      <c r="B61" t="s">
        <v>658</v>
      </c>
      <c r="C61" t="s">
        <v>657</v>
      </c>
      <c r="D61" t="s">
        <v>654</v>
      </c>
      <c r="E61" t="s">
        <v>654</v>
      </c>
    </row>
    <row r="62" spans="2:6" x14ac:dyDescent="0.3">
      <c r="B62" t="s">
        <v>659</v>
      </c>
      <c r="C62" t="s">
        <v>657</v>
      </c>
      <c r="D62" t="s">
        <v>654</v>
      </c>
      <c r="E62" t="s">
        <v>654</v>
      </c>
    </row>
    <row r="63" spans="2:6" x14ac:dyDescent="0.3">
      <c r="B63" t="s">
        <v>660</v>
      </c>
      <c r="C63" t="s">
        <v>657</v>
      </c>
      <c r="D63" t="s">
        <v>657</v>
      </c>
      <c r="E63" t="s">
        <v>654</v>
      </c>
    </row>
    <row r="64" spans="2:6" x14ac:dyDescent="0.3">
      <c r="B64" t="s">
        <v>661</v>
      </c>
      <c r="C64" t="s">
        <v>662</v>
      </c>
      <c r="D64" t="s">
        <v>663</v>
      </c>
      <c r="E64" t="s">
        <v>664</v>
      </c>
    </row>
    <row r="65" spans="2:5" x14ac:dyDescent="0.3">
      <c r="B65" t="s">
        <v>665</v>
      </c>
      <c r="C65" s="21">
        <v>1000</v>
      </c>
      <c r="D65" s="21">
        <v>10000</v>
      </c>
      <c r="E65" s="21">
        <v>50000</v>
      </c>
    </row>
    <row r="66" spans="2:5" x14ac:dyDescent="0.3">
      <c r="B66" t="s">
        <v>666</v>
      </c>
      <c r="C66" t="s">
        <v>667</v>
      </c>
      <c r="D66" t="s">
        <v>668</v>
      </c>
      <c r="E66" t="s">
        <v>669</v>
      </c>
    </row>
    <row r="67" spans="2:5" x14ac:dyDescent="0.3">
      <c r="B67" t="s">
        <v>670</v>
      </c>
      <c r="C67" s="22">
        <v>0.995</v>
      </c>
      <c r="D67" s="22">
        <v>0.999</v>
      </c>
      <c r="E67" s="22">
        <v>0.999</v>
      </c>
    </row>
    <row r="68" spans="2:5" x14ac:dyDescent="0.3">
      <c r="B68" t="s">
        <v>671</v>
      </c>
      <c r="C68" t="s">
        <v>672</v>
      </c>
      <c r="D68" t="s">
        <v>673</v>
      </c>
      <c r="E68" t="s">
        <v>674</v>
      </c>
    </row>
    <row r="73" spans="2:5" x14ac:dyDescent="0.3">
      <c r="B73" s="19" t="s">
        <v>691</v>
      </c>
      <c r="C73" s="19" t="s">
        <v>675</v>
      </c>
      <c r="D73" s="19" t="s">
        <v>676</v>
      </c>
    </row>
    <row r="74" spans="2:5" ht="43.2" x14ac:dyDescent="0.3">
      <c r="B74">
        <v>1</v>
      </c>
      <c r="C74" t="s">
        <v>677</v>
      </c>
      <c r="D74" s="1" t="s">
        <v>678</v>
      </c>
    </row>
    <row r="75" spans="2:5" ht="43.2" x14ac:dyDescent="0.3">
      <c r="B75">
        <v>2</v>
      </c>
      <c r="C75" t="s">
        <v>679</v>
      </c>
      <c r="D75" s="1" t="s">
        <v>680</v>
      </c>
    </row>
    <row r="76" spans="2:5" x14ac:dyDescent="0.3">
      <c r="B76">
        <v>3</v>
      </c>
      <c r="C76" t="s">
        <v>681</v>
      </c>
      <c r="D76" s="1" t="s">
        <v>682</v>
      </c>
    </row>
    <row r="77" spans="2:5" ht="28.8" x14ac:dyDescent="0.3">
      <c r="B77">
        <v>4</v>
      </c>
      <c r="C77" t="s">
        <v>683</v>
      </c>
      <c r="D77" s="1" t="s">
        <v>684</v>
      </c>
    </row>
    <row r="78" spans="2:5" ht="28.8" x14ac:dyDescent="0.3">
      <c r="B78">
        <v>5</v>
      </c>
      <c r="C78" t="s">
        <v>685</v>
      </c>
      <c r="D78" s="1" t="s">
        <v>686</v>
      </c>
    </row>
    <row r="79" spans="2:5" x14ac:dyDescent="0.3">
      <c r="B79">
        <v>6</v>
      </c>
      <c r="C79" t="s">
        <v>687</v>
      </c>
      <c r="D79" s="1" t="s">
        <v>688</v>
      </c>
    </row>
    <row r="80" spans="2:5" ht="57.6" x14ac:dyDescent="0.3">
      <c r="B80">
        <v>7</v>
      </c>
      <c r="C80" t="s">
        <v>692</v>
      </c>
      <c r="D80" s="1" t="s">
        <v>693</v>
      </c>
    </row>
    <row r="81" spans="2:11" ht="28.8" x14ac:dyDescent="0.3">
      <c r="B81">
        <v>8</v>
      </c>
      <c r="C81" t="s">
        <v>689</v>
      </c>
      <c r="D81" s="1" t="s">
        <v>690</v>
      </c>
    </row>
    <row r="84" spans="2:11" s="2" customFormat="1" ht="28.8" x14ac:dyDescent="0.3">
      <c r="B84" s="23" t="s">
        <v>691</v>
      </c>
      <c r="C84" s="23" t="s">
        <v>694</v>
      </c>
      <c r="D84" s="23" t="s">
        <v>677</v>
      </c>
      <c r="E84" s="23" t="s">
        <v>695</v>
      </c>
      <c r="F84" s="23" t="s">
        <v>696</v>
      </c>
      <c r="G84" s="23" t="s">
        <v>697</v>
      </c>
      <c r="H84" s="23" t="s">
        <v>685</v>
      </c>
      <c r="I84" s="23" t="s">
        <v>698</v>
      </c>
      <c r="J84" s="23" t="s">
        <v>699</v>
      </c>
      <c r="K84" s="23" t="s">
        <v>700</v>
      </c>
    </row>
    <row r="85" spans="2:11" x14ac:dyDescent="0.3">
      <c r="B85">
        <v>1</v>
      </c>
      <c r="C85" t="s">
        <v>701</v>
      </c>
      <c r="D85" t="s">
        <v>3</v>
      </c>
      <c r="E85" t="s">
        <v>3</v>
      </c>
      <c r="F85" t="s">
        <v>3</v>
      </c>
      <c r="G85" t="s">
        <v>4</v>
      </c>
      <c r="H85" t="s">
        <v>3</v>
      </c>
      <c r="I85" t="s">
        <v>6</v>
      </c>
      <c r="J85" t="s">
        <v>2</v>
      </c>
      <c r="K85" t="s">
        <v>4</v>
      </c>
    </row>
    <row r="86" spans="2:11" x14ac:dyDescent="0.3">
      <c r="B86">
        <v>2</v>
      </c>
      <c r="C86" t="s">
        <v>5</v>
      </c>
      <c r="D86" t="s">
        <v>4</v>
      </c>
      <c r="E86" t="s">
        <v>3</v>
      </c>
      <c r="F86" t="s">
        <v>4</v>
      </c>
      <c r="G86" t="s">
        <v>646</v>
      </c>
      <c r="H86" t="s">
        <v>646</v>
      </c>
      <c r="I86" t="s">
        <v>3</v>
      </c>
      <c r="J86" t="s">
        <v>6</v>
      </c>
      <c r="K86" t="s">
        <v>3</v>
      </c>
    </row>
    <row r="87" spans="2:11" x14ac:dyDescent="0.3">
      <c r="B87">
        <v>3</v>
      </c>
      <c r="C87" t="s">
        <v>702</v>
      </c>
      <c r="D87" t="s">
        <v>4</v>
      </c>
      <c r="E87" t="s">
        <v>4</v>
      </c>
      <c r="F87" t="s">
        <v>646</v>
      </c>
      <c r="G87" t="s">
        <v>646</v>
      </c>
      <c r="H87" t="s">
        <v>646</v>
      </c>
      <c r="I87" t="s">
        <v>4</v>
      </c>
      <c r="J87" t="s">
        <v>6</v>
      </c>
      <c r="K87" t="s">
        <v>3</v>
      </c>
    </row>
    <row r="88" spans="2:11" x14ac:dyDescent="0.3">
      <c r="B88">
        <v>4</v>
      </c>
      <c r="C88" t="s">
        <v>8</v>
      </c>
      <c r="D88" t="s">
        <v>4</v>
      </c>
      <c r="E88" t="s">
        <v>4</v>
      </c>
      <c r="F88" t="s">
        <v>4</v>
      </c>
      <c r="G88" t="s">
        <v>646</v>
      </c>
      <c r="H88" t="s">
        <v>646</v>
      </c>
      <c r="I88" t="s">
        <v>4</v>
      </c>
      <c r="J88" t="s">
        <v>2</v>
      </c>
      <c r="K88" t="s">
        <v>6</v>
      </c>
    </row>
    <row r="89" spans="2:11" x14ac:dyDescent="0.3">
      <c r="B89">
        <v>5</v>
      </c>
      <c r="C89" t="s">
        <v>9</v>
      </c>
      <c r="D89" t="s">
        <v>4</v>
      </c>
      <c r="E89" t="s">
        <v>4</v>
      </c>
      <c r="F89" t="s">
        <v>646</v>
      </c>
      <c r="G89" t="s">
        <v>646</v>
      </c>
      <c r="H89" t="s">
        <v>646</v>
      </c>
      <c r="I89" t="s">
        <v>4</v>
      </c>
      <c r="J89" t="s">
        <v>6</v>
      </c>
      <c r="K89" t="s">
        <v>3</v>
      </c>
    </row>
    <row r="90" spans="2:11" x14ac:dyDescent="0.3">
      <c r="B90">
        <v>6</v>
      </c>
      <c r="C90" t="s">
        <v>703</v>
      </c>
      <c r="D90" t="s">
        <v>4</v>
      </c>
      <c r="E90" t="s">
        <v>3</v>
      </c>
      <c r="F90" t="s">
        <v>2</v>
      </c>
      <c r="G90" t="s">
        <v>2</v>
      </c>
      <c r="H90" t="s">
        <v>2</v>
      </c>
      <c r="I90" t="s">
        <v>6</v>
      </c>
      <c r="J90" t="s">
        <v>3</v>
      </c>
      <c r="K90" t="s">
        <v>3</v>
      </c>
    </row>
    <row r="91" spans="2:11" x14ac:dyDescent="0.3">
      <c r="B91">
        <v>7</v>
      </c>
      <c r="C91" t="s">
        <v>11</v>
      </c>
      <c r="D91" t="s">
        <v>3</v>
      </c>
      <c r="E91" t="s">
        <v>3</v>
      </c>
      <c r="F91" t="s">
        <v>4</v>
      </c>
      <c r="G91" t="s">
        <v>646</v>
      </c>
      <c r="H91" t="s">
        <v>646</v>
      </c>
      <c r="I91" t="s">
        <v>6</v>
      </c>
      <c r="J91" t="s">
        <v>2</v>
      </c>
      <c r="K91" t="s">
        <v>4</v>
      </c>
    </row>
    <row r="92" spans="2:11" x14ac:dyDescent="0.3">
      <c r="B92">
        <v>8</v>
      </c>
      <c r="C92" t="s">
        <v>20</v>
      </c>
      <c r="D92" t="s">
        <v>6</v>
      </c>
      <c r="E92" t="s">
        <v>3</v>
      </c>
      <c r="F92" t="s">
        <v>4</v>
      </c>
      <c r="G92" t="s">
        <v>646</v>
      </c>
      <c r="H92" t="s">
        <v>646</v>
      </c>
      <c r="I92" t="s">
        <v>3</v>
      </c>
      <c r="J92" t="s">
        <v>2</v>
      </c>
      <c r="K92" t="s">
        <v>3</v>
      </c>
    </row>
    <row r="93" spans="2:11" x14ac:dyDescent="0.3">
      <c r="B93">
        <v>9</v>
      </c>
      <c r="C93" t="s">
        <v>704</v>
      </c>
      <c r="D93" t="s">
        <v>4</v>
      </c>
      <c r="E93" t="s">
        <v>6</v>
      </c>
      <c r="F93" t="s">
        <v>2</v>
      </c>
      <c r="G93" t="s">
        <v>2</v>
      </c>
      <c r="H93" t="s">
        <v>3</v>
      </c>
      <c r="I93" t="s">
        <v>3</v>
      </c>
      <c r="J93" t="s">
        <v>3</v>
      </c>
      <c r="K93" t="s">
        <v>4</v>
      </c>
    </row>
    <row r="94" spans="2:11" x14ac:dyDescent="0.3">
      <c r="B94">
        <v>10</v>
      </c>
      <c r="C94" t="s">
        <v>13</v>
      </c>
      <c r="D94" t="s">
        <v>6</v>
      </c>
      <c r="E94" t="s">
        <v>3</v>
      </c>
      <c r="F94" t="s">
        <v>4</v>
      </c>
      <c r="G94" t="s">
        <v>4</v>
      </c>
      <c r="H94" t="s">
        <v>4</v>
      </c>
      <c r="I94" t="s">
        <v>3</v>
      </c>
      <c r="J94" t="s">
        <v>2</v>
      </c>
      <c r="K94" t="s">
        <v>3</v>
      </c>
    </row>
    <row r="95" spans="2:11" x14ac:dyDescent="0.3">
      <c r="B95">
        <v>11</v>
      </c>
      <c r="C95" t="s">
        <v>705</v>
      </c>
      <c r="D95" t="s">
        <v>4</v>
      </c>
      <c r="E95" t="s">
        <v>4</v>
      </c>
      <c r="F95" t="s">
        <v>4</v>
      </c>
      <c r="G95" t="s">
        <v>646</v>
      </c>
      <c r="H95" t="s">
        <v>646</v>
      </c>
      <c r="I95" t="s">
        <v>3</v>
      </c>
      <c r="J95" t="s">
        <v>3</v>
      </c>
      <c r="K95" t="s">
        <v>6</v>
      </c>
    </row>
    <row r="96" spans="2:11" x14ac:dyDescent="0.3">
      <c r="B96">
        <v>12</v>
      </c>
      <c r="C96" t="s">
        <v>15</v>
      </c>
      <c r="D96" t="s">
        <v>3</v>
      </c>
      <c r="E96" t="s">
        <v>3</v>
      </c>
      <c r="F96" t="s">
        <v>3</v>
      </c>
      <c r="G96" t="s">
        <v>4</v>
      </c>
      <c r="H96" t="s">
        <v>3</v>
      </c>
      <c r="I96" t="s">
        <v>6</v>
      </c>
      <c r="J96" t="s">
        <v>2</v>
      </c>
      <c r="K96" t="s">
        <v>3</v>
      </c>
    </row>
    <row r="100" spans="3:7" x14ac:dyDescent="0.3">
      <c r="C100" s="24" t="s">
        <v>675</v>
      </c>
      <c r="D100" s="24" t="s">
        <v>706</v>
      </c>
      <c r="E100" s="24" t="s">
        <v>707</v>
      </c>
      <c r="F100" s="24" t="s">
        <v>708</v>
      </c>
      <c r="G100" s="24" t="s">
        <v>709</v>
      </c>
    </row>
    <row r="101" spans="3:7" ht="115.2" x14ac:dyDescent="0.3">
      <c r="C101" t="s">
        <v>692</v>
      </c>
      <c r="D101" t="s">
        <v>710</v>
      </c>
      <c r="E101" t="s">
        <v>710</v>
      </c>
      <c r="F101" t="s">
        <v>711</v>
      </c>
      <c r="G101" s="1" t="s">
        <v>712</v>
      </c>
    </row>
    <row r="102" spans="3:7" ht="100.8" x14ac:dyDescent="0.3">
      <c r="C102" t="s">
        <v>679</v>
      </c>
      <c r="D102" t="s">
        <v>710</v>
      </c>
      <c r="E102" t="s">
        <v>710</v>
      </c>
      <c r="F102" t="s">
        <v>711</v>
      </c>
      <c r="G102" s="1" t="s">
        <v>713</v>
      </c>
    </row>
    <row r="103" spans="3:7" ht="43.2" x14ac:dyDescent="0.3">
      <c r="C103" t="s">
        <v>677</v>
      </c>
      <c r="D103" t="s">
        <v>710</v>
      </c>
      <c r="E103" t="s">
        <v>714</v>
      </c>
      <c r="F103" t="s">
        <v>715</v>
      </c>
      <c r="G103" s="1" t="s">
        <v>716</v>
      </c>
    </row>
    <row r="104" spans="3:7" ht="86.4" x14ac:dyDescent="0.3">
      <c r="C104" t="s">
        <v>681</v>
      </c>
      <c r="D104" t="s">
        <v>714</v>
      </c>
      <c r="E104" t="s">
        <v>710</v>
      </c>
      <c r="F104" t="s">
        <v>717</v>
      </c>
      <c r="G104" s="1" t="s">
        <v>718</v>
      </c>
    </row>
    <row r="105" spans="3:7" ht="115.2" x14ac:dyDescent="0.3">
      <c r="C105" t="s">
        <v>685</v>
      </c>
      <c r="D105" t="s">
        <v>714</v>
      </c>
      <c r="E105" t="s">
        <v>710</v>
      </c>
      <c r="F105" t="s">
        <v>717</v>
      </c>
      <c r="G105" s="1" t="s">
        <v>719</v>
      </c>
    </row>
    <row r="106" spans="3:7" ht="100.8" x14ac:dyDescent="0.3">
      <c r="C106" t="s">
        <v>687</v>
      </c>
      <c r="D106" t="s">
        <v>714</v>
      </c>
      <c r="E106" t="s">
        <v>714</v>
      </c>
      <c r="F106" t="s">
        <v>720</v>
      </c>
      <c r="G106" s="1" t="s">
        <v>721</v>
      </c>
    </row>
    <row r="107" spans="3:7" ht="43.2" x14ac:dyDescent="0.3">
      <c r="C107" t="s">
        <v>683</v>
      </c>
      <c r="D107" t="s">
        <v>714</v>
      </c>
      <c r="E107" t="s">
        <v>714</v>
      </c>
      <c r="F107" t="s">
        <v>720</v>
      </c>
      <c r="G107" s="1" t="s">
        <v>722</v>
      </c>
    </row>
    <row r="108" spans="3:7" ht="100.8" x14ac:dyDescent="0.3">
      <c r="C108" t="s">
        <v>689</v>
      </c>
      <c r="D108" t="s">
        <v>714</v>
      </c>
      <c r="E108" t="s">
        <v>714</v>
      </c>
      <c r="F108" t="s">
        <v>720</v>
      </c>
      <c r="G108" s="1" t="s">
        <v>723</v>
      </c>
    </row>
    <row r="112" spans="3:7" x14ac:dyDescent="0.3">
      <c r="C112" s="19" t="s">
        <v>691</v>
      </c>
      <c r="D112" s="19" t="s">
        <v>724</v>
      </c>
    </row>
    <row r="113" spans="3:4" x14ac:dyDescent="0.3">
      <c r="C113" t="s">
        <v>725</v>
      </c>
      <c r="D113" t="s">
        <v>726</v>
      </c>
    </row>
    <row r="114" spans="3:4" x14ac:dyDescent="0.3">
      <c r="C114" t="s">
        <v>727</v>
      </c>
      <c r="D114" t="s">
        <v>728</v>
      </c>
    </row>
    <row r="115" spans="3:4" x14ac:dyDescent="0.3">
      <c r="C115" t="s">
        <v>729</v>
      </c>
      <c r="D115" t="s">
        <v>730</v>
      </c>
    </row>
    <row r="116" spans="3:4" x14ac:dyDescent="0.3">
      <c r="C116" t="s">
        <v>731</v>
      </c>
      <c r="D116" t="s">
        <v>732</v>
      </c>
    </row>
    <row r="117" spans="3:4" x14ac:dyDescent="0.3">
      <c r="C117" t="s">
        <v>733</v>
      </c>
      <c r="D117" t="s">
        <v>734</v>
      </c>
    </row>
    <row r="118" spans="3:4" x14ac:dyDescent="0.3">
      <c r="C118" t="s">
        <v>735</v>
      </c>
      <c r="D118" t="s">
        <v>736</v>
      </c>
    </row>
    <row r="119" spans="3:4" x14ac:dyDescent="0.3">
      <c r="C119" t="s">
        <v>737</v>
      </c>
      <c r="D119" t="s">
        <v>738</v>
      </c>
    </row>
    <row r="120" spans="3:4" x14ac:dyDescent="0.3">
      <c r="C120" t="s">
        <v>739</v>
      </c>
      <c r="D120" t="s">
        <v>740</v>
      </c>
    </row>
    <row r="121" spans="3:4" x14ac:dyDescent="0.3">
      <c r="C121" t="s">
        <v>741</v>
      </c>
      <c r="D121" t="s">
        <v>742</v>
      </c>
    </row>
    <row r="122" spans="3:4" x14ac:dyDescent="0.3">
      <c r="C122" t="s">
        <v>743</v>
      </c>
      <c r="D122" t="s">
        <v>744</v>
      </c>
    </row>
    <row r="123" spans="3:4" x14ac:dyDescent="0.3">
      <c r="C123" t="s">
        <v>745</v>
      </c>
      <c r="D123" t="s">
        <v>746</v>
      </c>
    </row>
    <row r="124" spans="3:4" x14ac:dyDescent="0.3">
      <c r="C124" t="s">
        <v>747</v>
      </c>
      <c r="D124" t="s">
        <v>748</v>
      </c>
    </row>
    <row r="125" spans="3:4" x14ac:dyDescent="0.3">
      <c r="C125" t="s">
        <v>749</v>
      </c>
      <c r="D125" t="s">
        <v>750</v>
      </c>
    </row>
    <row r="126" spans="3:4" x14ac:dyDescent="0.3">
      <c r="C126" t="s">
        <v>751</v>
      </c>
      <c r="D126" t="s">
        <v>752</v>
      </c>
    </row>
    <row r="127" spans="3:4" x14ac:dyDescent="0.3">
      <c r="C127" t="s">
        <v>753</v>
      </c>
      <c r="D127" t="s">
        <v>754</v>
      </c>
    </row>
    <row r="128" spans="3:4" x14ac:dyDescent="0.3">
      <c r="C128" t="s">
        <v>755</v>
      </c>
      <c r="D128" t="s">
        <v>756</v>
      </c>
    </row>
    <row r="129" spans="3:5" x14ac:dyDescent="0.3">
      <c r="C129" t="s">
        <v>757</v>
      </c>
      <c r="D129" t="s">
        <v>758</v>
      </c>
    </row>
    <row r="130" spans="3:5" x14ac:dyDescent="0.3">
      <c r="C130" t="s">
        <v>759</v>
      </c>
      <c r="D130" t="s">
        <v>760</v>
      </c>
    </row>
    <row r="131" spans="3:5" x14ac:dyDescent="0.3">
      <c r="C131" t="s">
        <v>761</v>
      </c>
      <c r="D131" t="s">
        <v>762</v>
      </c>
    </row>
    <row r="132" spans="3:5" x14ac:dyDescent="0.3">
      <c r="C132" t="s">
        <v>763</v>
      </c>
      <c r="D132" t="s">
        <v>764</v>
      </c>
    </row>
    <row r="133" spans="3:5" x14ac:dyDescent="0.3">
      <c r="C133" t="s">
        <v>765</v>
      </c>
      <c r="D133" t="s">
        <v>766</v>
      </c>
    </row>
    <row r="134" spans="3:5" x14ac:dyDescent="0.3">
      <c r="C134" t="s">
        <v>767</v>
      </c>
      <c r="D134" t="s">
        <v>768</v>
      </c>
    </row>
    <row r="135" spans="3:5" x14ac:dyDescent="0.3">
      <c r="C135" t="s">
        <v>769</v>
      </c>
      <c r="D135" t="s">
        <v>770</v>
      </c>
    </row>
    <row r="136" spans="3:5" x14ac:dyDescent="0.3">
      <c r="C136" t="s">
        <v>771</v>
      </c>
      <c r="D136" t="s">
        <v>772</v>
      </c>
    </row>
    <row r="137" spans="3:5" x14ac:dyDescent="0.3">
      <c r="C137" t="s">
        <v>773</v>
      </c>
      <c r="D137" t="s">
        <v>774</v>
      </c>
    </row>
    <row r="138" spans="3:5" x14ac:dyDescent="0.3">
      <c r="C138" t="s">
        <v>775</v>
      </c>
      <c r="D138" t="s">
        <v>776</v>
      </c>
    </row>
    <row r="139" spans="3:5" x14ac:dyDescent="0.3">
      <c r="C139" t="s">
        <v>777</v>
      </c>
      <c r="D139" t="s">
        <v>778</v>
      </c>
    </row>
    <row r="140" spans="3:5" x14ac:dyDescent="0.3">
      <c r="C140" t="s">
        <v>779</v>
      </c>
      <c r="D140" t="s">
        <v>780</v>
      </c>
    </row>
    <row r="141" spans="3:5" x14ac:dyDescent="0.3">
      <c r="C141" t="s">
        <v>781</v>
      </c>
      <c r="D141" t="s">
        <v>782</v>
      </c>
    </row>
    <row r="142" spans="3:5" x14ac:dyDescent="0.3">
      <c r="C142" t="s">
        <v>783</v>
      </c>
      <c r="D142" t="s">
        <v>784</v>
      </c>
    </row>
    <row r="144" spans="3:5" x14ac:dyDescent="0.3">
      <c r="C144" s="19" t="s">
        <v>785</v>
      </c>
      <c r="D144" s="19" t="s">
        <v>786</v>
      </c>
      <c r="E144" s="19" t="s">
        <v>787</v>
      </c>
    </row>
    <row r="145" spans="3:7" ht="57.6" x14ac:dyDescent="0.3">
      <c r="C145" s="26" t="s">
        <v>796</v>
      </c>
      <c r="D145" s="26" t="s">
        <v>788</v>
      </c>
      <c r="E145" s="27" t="s">
        <v>789</v>
      </c>
    </row>
    <row r="146" spans="3:7" ht="72" x14ac:dyDescent="0.3">
      <c r="C146" s="26" t="s">
        <v>797</v>
      </c>
      <c r="D146" s="26" t="s">
        <v>790</v>
      </c>
      <c r="E146" s="27" t="s">
        <v>791</v>
      </c>
    </row>
    <row r="147" spans="3:7" ht="57.6" x14ac:dyDescent="0.3">
      <c r="C147" s="26" t="s">
        <v>798</v>
      </c>
      <c r="D147" s="26" t="s">
        <v>792</v>
      </c>
      <c r="E147" s="27" t="s">
        <v>793</v>
      </c>
    </row>
    <row r="148" spans="3:7" ht="43.2" x14ac:dyDescent="0.3">
      <c r="C148" s="26" t="s">
        <v>799</v>
      </c>
      <c r="D148" s="26" t="s">
        <v>794</v>
      </c>
      <c r="E148" s="27" t="s">
        <v>795</v>
      </c>
    </row>
    <row r="154" spans="3:7" x14ac:dyDescent="0.3">
      <c r="C154" s="19" t="s">
        <v>28</v>
      </c>
      <c r="D154" s="19" t="s">
        <v>800</v>
      </c>
      <c r="E154" s="19" t="s">
        <v>801</v>
      </c>
      <c r="F154" s="19" t="s">
        <v>802</v>
      </c>
      <c r="G154" s="19" t="s">
        <v>803</v>
      </c>
    </row>
    <row r="155" spans="3:7" ht="28.8" x14ac:dyDescent="0.3">
      <c r="C155" s="26" t="s">
        <v>725</v>
      </c>
      <c r="D155" s="27" t="s">
        <v>804</v>
      </c>
      <c r="E155" s="27" t="s">
        <v>805</v>
      </c>
      <c r="F155" s="26" t="s">
        <v>796</v>
      </c>
      <c r="G155" s="27" t="s">
        <v>646</v>
      </c>
    </row>
    <row r="156" spans="3:7" ht="28.8" x14ac:dyDescent="0.3">
      <c r="C156" s="26" t="s">
        <v>727</v>
      </c>
      <c r="D156" s="27" t="s">
        <v>806</v>
      </c>
      <c r="E156" s="27" t="s">
        <v>807</v>
      </c>
      <c r="F156" s="26" t="s">
        <v>796</v>
      </c>
      <c r="G156" s="27" t="s">
        <v>725</v>
      </c>
    </row>
    <row r="157" spans="3:7" ht="28.8" x14ac:dyDescent="0.3">
      <c r="C157" s="26" t="s">
        <v>729</v>
      </c>
      <c r="D157" s="27" t="s">
        <v>808</v>
      </c>
      <c r="E157" s="27" t="s">
        <v>809</v>
      </c>
      <c r="F157" s="26" t="s">
        <v>796</v>
      </c>
      <c r="G157" s="27" t="s">
        <v>727</v>
      </c>
    </row>
    <row r="158" spans="3:7" ht="28.8" x14ac:dyDescent="0.3">
      <c r="C158" s="26" t="s">
        <v>731</v>
      </c>
      <c r="D158" s="27" t="s">
        <v>810</v>
      </c>
      <c r="E158" s="27" t="s">
        <v>811</v>
      </c>
      <c r="F158" s="26" t="s">
        <v>796</v>
      </c>
      <c r="G158" s="27" t="s">
        <v>727</v>
      </c>
    </row>
    <row r="159" spans="3:7" ht="28.8" x14ac:dyDescent="0.3">
      <c r="C159" s="26" t="s">
        <v>733</v>
      </c>
      <c r="D159" s="27" t="s">
        <v>812</v>
      </c>
      <c r="E159" s="27" t="s">
        <v>813</v>
      </c>
      <c r="F159" s="26" t="s">
        <v>796</v>
      </c>
      <c r="G159" s="27" t="s">
        <v>725</v>
      </c>
    </row>
    <row r="160" spans="3:7" ht="28.8" x14ac:dyDescent="0.3">
      <c r="C160" s="26" t="s">
        <v>735</v>
      </c>
      <c r="D160" s="27" t="s">
        <v>814</v>
      </c>
      <c r="E160" s="27" t="s">
        <v>815</v>
      </c>
      <c r="F160" s="26" t="s">
        <v>796</v>
      </c>
      <c r="G160" s="27" t="s">
        <v>816</v>
      </c>
    </row>
    <row r="161" spans="3:7" ht="28.8" x14ac:dyDescent="0.3">
      <c r="C161" s="26" t="s">
        <v>737</v>
      </c>
      <c r="D161" s="27" t="s">
        <v>817</v>
      </c>
      <c r="E161" s="27" t="s">
        <v>818</v>
      </c>
      <c r="F161" s="26" t="s">
        <v>796</v>
      </c>
      <c r="G161" s="27" t="s">
        <v>735</v>
      </c>
    </row>
    <row r="162" spans="3:7" ht="28.8" x14ac:dyDescent="0.3">
      <c r="C162" s="26" t="s">
        <v>739</v>
      </c>
      <c r="D162" s="27" t="s">
        <v>819</v>
      </c>
      <c r="E162" s="27" t="s">
        <v>820</v>
      </c>
      <c r="F162" s="26" t="s">
        <v>796</v>
      </c>
      <c r="G162" s="27" t="s">
        <v>737</v>
      </c>
    </row>
    <row r="163" spans="3:7" ht="28.8" x14ac:dyDescent="0.3">
      <c r="C163" s="26" t="s">
        <v>741</v>
      </c>
      <c r="D163" s="27" t="s">
        <v>821</v>
      </c>
      <c r="E163" s="27" t="s">
        <v>822</v>
      </c>
      <c r="F163" s="26" t="s">
        <v>796</v>
      </c>
      <c r="G163" s="27" t="s">
        <v>737</v>
      </c>
    </row>
    <row r="164" spans="3:7" ht="28.8" x14ac:dyDescent="0.3">
      <c r="C164" s="26" t="s">
        <v>743</v>
      </c>
      <c r="D164" s="27" t="s">
        <v>823</v>
      </c>
      <c r="E164" s="27" t="s">
        <v>824</v>
      </c>
      <c r="F164" s="26" t="s">
        <v>797</v>
      </c>
      <c r="G164" s="27" t="s">
        <v>825</v>
      </c>
    </row>
    <row r="165" spans="3:7" ht="28.8" x14ac:dyDescent="0.3">
      <c r="C165" s="26" t="s">
        <v>745</v>
      </c>
      <c r="D165" s="27" t="s">
        <v>826</v>
      </c>
      <c r="E165" s="27" t="s">
        <v>827</v>
      </c>
      <c r="F165" s="26" t="s">
        <v>796</v>
      </c>
      <c r="G165" s="27" t="s">
        <v>825</v>
      </c>
    </row>
    <row r="166" spans="3:7" ht="28.8" x14ac:dyDescent="0.3">
      <c r="C166" s="26" t="s">
        <v>747</v>
      </c>
      <c r="D166" s="27" t="s">
        <v>828</v>
      </c>
      <c r="E166" s="27" t="s">
        <v>827</v>
      </c>
      <c r="F166" s="26" t="s">
        <v>797</v>
      </c>
      <c r="G166" s="27" t="s">
        <v>745</v>
      </c>
    </row>
    <row r="167" spans="3:7" ht="28.8" x14ac:dyDescent="0.3">
      <c r="C167" s="26" t="s">
        <v>749</v>
      </c>
      <c r="D167" s="27" t="s">
        <v>829</v>
      </c>
      <c r="E167" s="27" t="s">
        <v>830</v>
      </c>
      <c r="F167" s="26" t="s">
        <v>796</v>
      </c>
      <c r="G167" s="27" t="s">
        <v>831</v>
      </c>
    </row>
    <row r="168" spans="3:7" ht="28.8" x14ac:dyDescent="0.3">
      <c r="C168" s="26" t="s">
        <v>751</v>
      </c>
      <c r="D168" s="27" t="s">
        <v>832</v>
      </c>
      <c r="E168" s="27" t="s">
        <v>830</v>
      </c>
      <c r="F168" s="26" t="s">
        <v>796</v>
      </c>
      <c r="G168" s="27" t="s">
        <v>833</v>
      </c>
    </row>
    <row r="169" spans="3:7" ht="28.8" x14ac:dyDescent="0.3">
      <c r="C169" s="26" t="s">
        <v>753</v>
      </c>
      <c r="D169" s="27" t="s">
        <v>834</v>
      </c>
      <c r="E169" s="27" t="s">
        <v>835</v>
      </c>
      <c r="F169" s="26" t="s">
        <v>797</v>
      </c>
      <c r="G169" s="27" t="s">
        <v>749</v>
      </c>
    </row>
    <row r="170" spans="3:7" ht="28.8" x14ac:dyDescent="0.3">
      <c r="C170" s="26" t="s">
        <v>755</v>
      </c>
      <c r="D170" s="27" t="s">
        <v>836</v>
      </c>
      <c r="E170" s="27" t="s">
        <v>835</v>
      </c>
      <c r="F170" s="26" t="s">
        <v>797</v>
      </c>
      <c r="G170" s="27" t="s">
        <v>753</v>
      </c>
    </row>
    <row r="171" spans="3:7" ht="28.8" x14ac:dyDescent="0.3">
      <c r="C171" s="26" t="s">
        <v>757</v>
      </c>
      <c r="D171" s="27" t="s">
        <v>837</v>
      </c>
      <c r="E171" s="27" t="s">
        <v>838</v>
      </c>
      <c r="F171" s="26" t="s">
        <v>796</v>
      </c>
      <c r="G171" s="27" t="s">
        <v>839</v>
      </c>
    </row>
    <row r="172" spans="3:7" ht="28.8" x14ac:dyDescent="0.3">
      <c r="C172" s="26" t="s">
        <v>759</v>
      </c>
      <c r="D172" s="27" t="s">
        <v>840</v>
      </c>
      <c r="E172" s="27" t="s">
        <v>841</v>
      </c>
      <c r="F172" s="26" t="s">
        <v>797</v>
      </c>
      <c r="G172" s="27" t="s">
        <v>757</v>
      </c>
    </row>
    <row r="173" spans="3:7" ht="28.8" x14ac:dyDescent="0.3">
      <c r="C173" s="26" t="s">
        <v>761</v>
      </c>
      <c r="D173" s="27" t="s">
        <v>842</v>
      </c>
      <c r="E173" s="27" t="s">
        <v>843</v>
      </c>
      <c r="F173" s="26" t="s">
        <v>798</v>
      </c>
      <c r="G173" s="27" t="s">
        <v>825</v>
      </c>
    </row>
    <row r="174" spans="3:7" ht="28.8" x14ac:dyDescent="0.3">
      <c r="C174" s="26" t="s">
        <v>763</v>
      </c>
      <c r="D174" s="27" t="s">
        <v>844</v>
      </c>
      <c r="E174" s="27" t="s">
        <v>845</v>
      </c>
      <c r="F174" s="26" t="s">
        <v>797</v>
      </c>
      <c r="G174" s="27" t="s">
        <v>846</v>
      </c>
    </row>
    <row r="175" spans="3:7" ht="28.8" x14ac:dyDescent="0.3">
      <c r="C175" s="26" t="s">
        <v>765</v>
      </c>
      <c r="D175" s="27" t="s">
        <v>847</v>
      </c>
      <c r="E175" s="27" t="s">
        <v>848</v>
      </c>
      <c r="F175" s="26" t="s">
        <v>798</v>
      </c>
      <c r="G175" s="27" t="s">
        <v>745</v>
      </c>
    </row>
    <row r="176" spans="3:7" ht="28.8" x14ac:dyDescent="0.3">
      <c r="C176" s="26" t="s">
        <v>767</v>
      </c>
      <c r="D176" s="27" t="s">
        <v>849</v>
      </c>
      <c r="E176" s="27" t="s">
        <v>850</v>
      </c>
      <c r="F176" s="26" t="s">
        <v>797</v>
      </c>
      <c r="G176" s="27" t="s">
        <v>851</v>
      </c>
    </row>
    <row r="177" spans="3:7" ht="28.8" x14ac:dyDescent="0.3">
      <c r="C177" s="26" t="s">
        <v>769</v>
      </c>
      <c r="D177" s="27" t="s">
        <v>852</v>
      </c>
      <c r="E177" s="27" t="s">
        <v>853</v>
      </c>
      <c r="F177" s="26" t="s">
        <v>797</v>
      </c>
      <c r="G177" s="27" t="s">
        <v>751</v>
      </c>
    </row>
    <row r="178" spans="3:7" ht="28.8" x14ac:dyDescent="0.3">
      <c r="C178" s="26" t="s">
        <v>771</v>
      </c>
      <c r="D178" s="27" t="s">
        <v>854</v>
      </c>
      <c r="E178" s="27" t="s">
        <v>855</v>
      </c>
      <c r="F178" s="26" t="s">
        <v>798</v>
      </c>
      <c r="G178" s="27" t="s">
        <v>769</v>
      </c>
    </row>
    <row r="179" spans="3:7" ht="28.8" x14ac:dyDescent="0.3">
      <c r="C179" s="26" t="s">
        <v>773</v>
      </c>
      <c r="D179" s="27" t="s">
        <v>856</v>
      </c>
      <c r="E179" s="27" t="s">
        <v>857</v>
      </c>
      <c r="F179" s="26" t="s">
        <v>798</v>
      </c>
      <c r="G179" s="27" t="s">
        <v>737</v>
      </c>
    </row>
    <row r="180" spans="3:7" ht="28.8" x14ac:dyDescent="0.3">
      <c r="C180" s="26" t="s">
        <v>775</v>
      </c>
      <c r="D180" s="27" t="s">
        <v>858</v>
      </c>
      <c r="E180" s="27" t="s">
        <v>859</v>
      </c>
      <c r="F180" s="26" t="s">
        <v>798</v>
      </c>
      <c r="G180" s="27" t="s">
        <v>749</v>
      </c>
    </row>
    <row r="181" spans="3:7" ht="28.8" x14ac:dyDescent="0.3">
      <c r="C181" s="26" t="s">
        <v>777</v>
      </c>
      <c r="D181" s="27" t="s">
        <v>860</v>
      </c>
      <c r="E181" s="27" t="s">
        <v>861</v>
      </c>
      <c r="F181" s="26" t="s">
        <v>797</v>
      </c>
      <c r="G181" s="27" t="s">
        <v>779</v>
      </c>
    </row>
    <row r="182" spans="3:7" ht="28.8" x14ac:dyDescent="0.3">
      <c r="C182" s="26" t="s">
        <v>779</v>
      </c>
      <c r="D182" s="27" t="s">
        <v>862</v>
      </c>
      <c r="E182" s="27" t="s">
        <v>863</v>
      </c>
      <c r="F182" s="26" t="s">
        <v>796</v>
      </c>
      <c r="G182" s="27" t="s">
        <v>816</v>
      </c>
    </row>
    <row r="183" spans="3:7" ht="28.8" x14ac:dyDescent="0.3">
      <c r="C183" s="26" t="s">
        <v>781</v>
      </c>
      <c r="D183" s="27" t="s">
        <v>864</v>
      </c>
      <c r="E183" s="27" t="s">
        <v>865</v>
      </c>
      <c r="F183" s="26" t="s">
        <v>797</v>
      </c>
      <c r="G183" s="27" t="s">
        <v>866</v>
      </c>
    </row>
    <row r="184" spans="3:7" ht="28.8" x14ac:dyDescent="0.3">
      <c r="C184" s="26" t="s">
        <v>783</v>
      </c>
      <c r="D184" s="27" t="s">
        <v>867</v>
      </c>
      <c r="E184" s="27" t="s">
        <v>868</v>
      </c>
      <c r="F184" s="26" t="s">
        <v>797</v>
      </c>
      <c r="G184" s="27" t="s">
        <v>737</v>
      </c>
    </row>
  </sheetData>
  <pageMargins left="0.7" right="0.7" top="0.75" bottom="0.75" header="0.3" footer="0.3"/>
  <tableParts count="11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0FA46-9327-489B-A391-B3EA09B3C83D}">
  <dimension ref="B3:G153"/>
  <sheetViews>
    <sheetView topLeftCell="A51" workbookViewId="0">
      <selection activeCell="C157" sqref="C157"/>
    </sheetView>
  </sheetViews>
  <sheetFormatPr baseColWidth="10" defaultRowHeight="14.4" x14ac:dyDescent="0.3"/>
  <cols>
    <col min="2" max="2" width="5" style="31" customWidth="1"/>
    <col min="3" max="3" width="21.21875" style="30" customWidth="1"/>
    <col min="4" max="4" width="17.77734375" style="27" customWidth="1"/>
    <col min="5" max="5" width="13.21875" customWidth="1"/>
    <col min="6" max="6" width="11.44140625" customWidth="1"/>
  </cols>
  <sheetData>
    <row r="3" spans="2:4" x14ac:dyDescent="0.3">
      <c r="B3" s="25" t="s">
        <v>691</v>
      </c>
      <c r="C3" s="29" t="s">
        <v>786</v>
      </c>
      <c r="D3" s="29" t="s">
        <v>869</v>
      </c>
    </row>
    <row r="4" spans="2:4" ht="144" x14ac:dyDescent="0.3">
      <c r="B4" s="31">
        <v>1</v>
      </c>
      <c r="C4" s="30" t="s">
        <v>281</v>
      </c>
      <c r="D4" s="27" t="s">
        <v>870</v>
      </c>
    </row>
    <row r="5" spans="2:4" ht="129.6" x14ac:dyDescent="0.3">
      <c r="B5" s="31">
        <v>2</v>
      </c>
      <c r="C5" s="30" t="s">
        <v>871</v>
      </c>
      <c r="D5" s="27" t="s">
        <v>872</v>
      </c>
    </row>
    <row r="6" spans="2:4" ht="100.8" x14ac:dyDescent="0.3">
      <c r="B6" s="31">
        <v>3</v>
      </c>
      <c r="C6" s="30" t="s">
        <v>873</v>
      </c>
      <c r="D6" s="27" t="s">
        <v>874</v>
      </c>
    </row>
    <row r="7" spans="2:4" ht="100.8" x14ac:dyDescent="0.3">
      <c r="B7" s="31">
        <v>4</v>
      </c>
      <c r="C7" s="30" t="s">
        <v>875</v>
      </c>
      <c r="D7" s="27" t="s">
        <v>876</v>
      </c>
    </row>
    <row r="8" spans="2:4" ht="115.2" x14ac:dyDescent="0.3">
      <c r="B8" s="31">
        <v>5</v>
      </c>
      <c r="C8" s="30" t="s">
        <v>877</v>
      </c>
      <c r="D8" s="27" t="s">
        <v>878</v>
      </c>
    </row>
    <row r="9" spans="2:4" ht="115.2" x14ac:dyDescent="0.3">
      <c r="B9" s="31">
        <v>6</v>
      </c>
      <c r="C9" s="30" t="s">
        <v>879</v>
      </c>
      <c r="D9" s="27" t="s">
        <v>880</v>
      </c>
    </row>
    <row r="10" spans="2:4" ht="100.8" x14ac:dyDescent="0.3">
      <c r="B10" s="31">
        <v>7</v>
      </c>
      <c r="C10" s="30" t="s">
        <v>881</v>
      </c>
      <c r="D10" s="27" t="s">
        <v>882</v>
      </c>
    </row>
    <row r="11" spans="2:4" ht="86.4" x14ac:dyDescent="0.3">
      <c r="B11" s="31">
        <v>8</v>
      </c>
      <c r="C11" s="30" t="s">
        <v>883</v>
      </c>
      <c r="D11" s="27" t="s">
        <v>884</v>
      </c>
    </row>
    <row r="12" spans="2:4" ht="129.6" x14ac:dyDescent="0.3">
      <c r="B12" s="31">
        <v>9</v>
      </c>
      <c r="C12" s="30" t="s">
        <v>885</v>
      </c>
      <c r="D12" s="27" t="s">
        <v>886</v>
      </c>
    </row>
    <row r="13" spans="2:4" ht="100.8" x14ac:dyDescent="0.3">
      <c r="B13" s="31">
        <v>10</v>
      </c>
      <c r="C13" s="30" t="s">
        <v>887</v>
      </c>
      <c r="D13" s="27" t="s">
        <v>888</v>
      </c>
    </row>
    <row r="14" spans="2:4" ht="115.2" x14ac:dyDescent="0.3">
      <c r="B14" s="31">
        <v>11</v>
      </c>
      <c r="C14" s="30" t="s">
        <v>889</v>
      </c>
      <c r="D14" s="27" t="s">
        <v>890</v>
      </c>
    </row>
    <row r="15" spans="2:4" ht="115.2" x14ac:dyDescent="0.3">
      <c r="B15" s="31">
        <v>12</v>
      </c>
      <c r="C15" s="30" t="s">
        <v>891</v>
      </c>
      <c r="D15" s="27" t="s">
        <v>892</v>
      </c>
    </row>
    <row r="16" spans="2:4" ht="100.8" x14ac:dyDescent="0.3">
      <c r="B16" s="31">
        <v>13</v>
      </c>
      <c r="C16" s="30" t="s">
        <v>893</v>
      </c>
      <c r="D16" s="27" t="s">
        <v>894</v>
      </c>
    </row>
    <row r="17" spans="2:4" ht="115.2" x14ac:dyDescent="0.3">
      <c r="B17" s="31">
        <v>14</v>
      </c>
      <c r="C17" s="30" t="s">
        <v>895</v>
      </c>
      <c r="D17" s="27" t="s">
        <v>896</v>
      </c>
    </row>
    <row r="18" spans="2:4" ht="144" x14ac:dyDescent="0.3">
      <c r="B18" s="31">
        <v>15</v>
      </c>
      <c r="C18" s="30" t="s">
        <v>897</v>
      </c>
      <c r="D18" s="27" t="s">
        <v>898</v>
      </c>
    </row>
    <row r="19" spans="2:4" ht="86.4" x14ac:dyDescent="0.3">
      <c r="B19" s="31">
        <v>16</v>
      </c>
      <c r="C19" s="30" t="s">
        <v>899</v>
      </c>
      <c r="D19" s="27" t="s">
        <v>900</v>
      </c>
    </row>
    <row r="20" spans="2:4" ht="86.4" x14ac:dyDescent="0.3">
      <c r="B20" s="31">
        <v>17</v>
      </c>
      <c r="C20" s="30" t="s">
        <v>901</v>
      </c>
      <c r="D20" s="27" t="s">
        <v>902</v>
      </c>
    </row>
    <row r="21" spans="2:4" ht="28.8" x14ac:dyDescent="0.3">
      <c r="B21" s="31">
        <v>18</v>
      </c>
      <c r="C21" s="30" t="s">
        <v>903</v>
      </c>
      <c r="D21" s="27" t="s">
        <v>904</v>
      </c>
    </row>
    <row r="22" spans="2:4" ht="28.8" x14ac:dyDescent="0.3">
      <c r="B22" s="31">
        <v>19</v>
      </c>
      <c r="C22" s="30" t="s">
        <v>905</v>
      </c>
      <c r="D22" s="27" t="s">
        <v>906</v>
      </c>
    </row>
    <row r="23" spans="2:4" ht="115.2" x14ac:dyDescent="0.3">
      <c r="B23" s="31">
        <v>20</v>
      </c>
      <c r="C23" s="30" t="s">
        <v>907</v>
      </c>
      <c r="D23" s="27" t="s">
        <v>908</v>
      </c>
    </row>
    <row r="24" spans="2:4" ht="115.2" x14ac:dyDescent="0.3">
      <c r="B24" s="31">
        <v>21</v>
      </c>
      <c r="C24" s="30" t="s">
        <v>909</v>
      </c>
      <c r="D24" s="27" t="s">
        <v>910</v>
      </c>
    </row>
    <row r="25" spans="2:4" ht="28.8" x14ac:dyDescent="0.3">
      <c r="B25" s="31">
        <v>22</v>
      </c>
      <c r="C25" s="30" t="s">
        <v>911</v>
      </c>
      <c r="D25" s="27" t="s">
        <v>912</v>
      </c>
    </row>
    <row r="26" spans="2:4" ht="115.2" x14ac:dyDescent="0.3">
      <c r="B26" s="31">
        <v>23</v>
      </c>
      <c r="C26" s="30" t="s">
        <v>913</v>
      </c>
      <c r="D26" s="27" t="s">
        <v>914</v>
      </c>
    </row>
    <row r="27" spans="2:4" ht="28.8" x14ac:dyDescent="0.3">
      <c r="B27" s="31">
        <v>24</v>
      </c>
      <c r="C27" s="30" t="s">
        <v>915</v>
      </c>
      <c r="D27" s="27" t="s">
        <v>916</v>
      </c>
    </row>
    <row r="28" spans="2:4" ht="129.6" x14ac:dyDescent="0.3">
      <c r="B28" s="31">
        <v>25</v>
      </c>
      <c r="C28" s="30" t="s">
        <v>917</v>
      </c>
      <c r="D28" s="27" t="s">
        <v>918</v>
      </c>
    </row>
    <row r="29" spans="2:4" ht="115.2" x14ac:dyDescent="0.3">
      <c r="B29" s="31">
        <v>26</v>
      </c>
      <c r="C29" s="30" t="s">
        <v>919</v>
      </c>
      <c r="D29" s="27" t="s">
        <v>920</v>
      </c>
    </row>
    <row r="30" spans="2:4" ht="28.8" x14ac:dyDescent="0.3">
      <c r="B30" s="31">
        <v>27</v>
      </c>
      <c r="C30" s="30" t="s">
        <v>921</v>
      </c>
      <c r="D30" s="27" t="s">
        <v>922</v>
      </c>
    </row>
    <row r="31" spans="2:4" ht="144" x14ac:dyDescent="0.3">
      <c r="B31" s="31">
        <v>28</v>
      </c>
      <c r="C31" s="30" t="s">
        <v>923</v>
      </c>
      <c r="D31" s="27" t="s">
        <v>924</v>
      </c>
    </row>
    <row r="32" spans="2:4" ht="86.4" x14ac:dyDescent="0.3">
      <c r="B32" s="31">
        <v>29</v>
      </c>
      <c r="C32" s="30" t="s">
        <v>925</v>
      </c>
      <c r="D32" s="27" t="s">
        <v>926</v>
      </c>
    </row>
    <row r="33" spans="2:4" ht="115.2" x14ac:dyDescent="0.3">
      <c r="B33" s="31">
        <v>30</v>
      </c>
      <c r="C33" s="30" t="s">
        <v>927</v>
      </c>
      <c r="D33" s="27" t="s">
        <v>928</v>
      </c>
    </row>
    <row r="34" spans="2:4" ht="72" x14ac:dyDescent="0.3">
      <c r="B34" s="31">
        <v>31</v>
      </c>
      <c r="C34" s="30" t="s">
        <v>929</v>
      </c>
      <c r="D34" s="27" t="s">
        <v>930</v>
      </c>
    </row>
    <row r="35" spans="2:4" ht="144" x14ac:dyDescent="0.3">
      <c r="B35" s="31">
        <v>32</v>
      </c>
      <c r="C35" s="30" t="s">
        <v>931</v>
      </c>
      <c r="D35" s="27" t="s">
        <v>932</v>
      </c>
    </row>
    <row r="36" spans="2:4" ht="100.8" x14ac:dyDescent="0.3">
      <c r="B36" s="31">
        <v>33</v>
      </c>
      <c r="C36" s="30" t="s">
        <v>933</v>
      </c>
      <c r="D36" s="27" t="s">
        <v>934</v>
      </c>
    </row>
    <row r="37" spans="2:4" ht="86.4" x14ac:dyDescent="0.3">
      <c r="B37" s="31">
        <v>34</v>
      </c>
      <c r="C37" s="30" t="s">
        <v>935</v>
      </c>
      <c r="D37" s="27" t="s">
        <v>936</v>
      </c>
    </row>
    <row r="38" spans="2:4" ht="72" x14ac:dyDescent="0.3">
      <c r="B38" s="31">
        <v>35</v>
      </c>
      <c r="C38" s="30" t="s">
        <v>499</v>
      </c>
      <c r="D38" s="27" t="s">
        <v>937</v>
      </c>
    </row>
    <row r="39" spans="2:4" ht="72" x14ac:dyDescent="0.3">
      <c r="B39" s="31">
        <v>36</v>
      </c>
      <c r="C39" s="30" t="s">
        <v>502</v>
      </c>
      <c r="D39" s="27" t="s">
        <v>938</v>
      </c>
    </row>
    <row r="40" spans="2:4" ht="158.4" x14ac:dyDescent="0.3">
      <c r="B40" s="31">
        <v>37</v>
      </c>
      <c r="C40" s="30" t="s">
        <v>939</v>
      </c>
      <c r="D40" s="27" t="s">
        <v>940</v>
      </c>
    </row>
    <row r="41" spans="2:4" ht="144" x14ac:dyDescent="0.3">
      <c r="B41" s="31">
        <v>38</v>
      </c>
      <c r="C41" s="30" t="s">
        <v>941</v>
      </c>
      <c r="D41" s="27" t="s">
        <v>942</v>
      </c>
    </row>
    <row r="42" spans="2:4" ht="86.4" x14ac:dyDescent="0.3">
      <c r="B42" s="31">
        <v>39</v>
      </c>
      <c r="C42" s="30" t="s">
        <v>943</v>
      </c>
      <c r="D42" s="27" t="s">
        <v>944</v>
      </c>
    </row>
    <row r="43" spans="2:4" ht="129.6" x14ac:dyDescent="0.3">
      <c r="B43" s="31">
        <v>40</v>
      </c>
      <c r="C43" s="30" t="s">
        <v>945</v>
      </c>
      <c r="D43" s="27" t="s">
        <v>946</v>
      </c>
    </row>
    <row r="44" spans="2:4" ht="115.2" x14ac:dyDescent="0.3">
      <c r="B44" s="31">
        <v>41</v>
      </c>
      <c r="C44" s="30" t="s">
        <v>947</v>
      </c>
      <c r="D44" s="27" t="s">
        <v>948</v>
      </c>
    </row>
    <row r="45" spans="2:4" ht="72" x14ac:dyDescent="0.3">
      <c r="B45" s="31">
        <v>42</v>
      </c>
      <c r="C45" s="30" t="s">
        <v>949</v>
      </c>
      <c r="D45" s="27" t="s">
        <v>950</v>
      </c>
    </row>
    <row r="46" spans="2:4" ht="72" x14ac:dyDescent="0.3">
      <c r="B46" s="31">
        <v>43</v>
      </c>
      <c r="C46" s="30" t="s">
        <v>951</v>
      </c>
      <c r="D46" s="27" t="s">
        <v>952</v>
      </c>
    </row>
    <row r="47" spans="2:4" ht="129.6" x14ac:dyDescent="0.3">
      <c r="B47" s="31">
        <v>44</v>
      </c>
      <c r="C47" s="30" t="s">
        <v>953</v>
      </c>
      <c r="D47" s="27" t="s">
        <v>954</v>
      </c>
    </row>
    <row r="48" spans="2:4" ht="100.8" x14ac:dyDescent="0.3">
      <c r="B48" s="31">
        <v>45</v>
      </c>
      <c r="C48" s="30" t="s">
        <v>955</v>
      </c>
      <c r="D48" s="27" t="s">
        <v>956</v>
      </c>
    </row>
    <row r="49" spans="2:4" ht="72" x14ac:dyDescent="0.3">
      <c r="B49" s="31">
        <v>46</v>
      </c>
      <c r="C49" s="30" t="s">
        <v>957</v>
      </c>
      <c r="D49" s="27" t="s">
        <v>958</v>
      </c>
    </row>
    <row r="50" spans="2:4" ht="115.2" x14ac:dyDescent="0.3">
      <c r="B50" s="31">
        <v>47</v>
      </c>
      <c r="C50" s="30" t="s">
        <v>959</v>
      </c>
      <c r="D50" s="27" t="s">
        <v>960</v>
      </c>
    </row>
    <row r="51" spans="2:4" ht="86.4" x14ac:dyDescent="0.3">
      <c r="B51" s="31">
        <v>48</v>
      </c>
      <c r="C51" s="30" t="s">
        <v>961</v>
      </c>
      <c r="D51" s="27" t="s">
        <v>962</v>
      </c>
    </row>
    <row r="52" spans="2:4" ht="100.8" x14ac:dyDescent="0.3">
      <c r="B52" s="31">
        <v>49</v>
      </c>
      <c r="C52" s="30" t="s">
        <v>963</v>
      </c>
      <c r="D52" s="27" t="s">
        <v>964</v>
      </c>
    </row>
    <row r="53" spans="2:4" ht="100.8" x14ac:dyDescent="0.3">
      <c r="B53" s="31">
        <v>50</v>
      </c>
      <c r="C53" s="30" t="s">
        <v>965</v>
      </c>
      <c r="D53" s="27" t="s">
        <v>966</v>
      </c>
    </row>
    <row r="54" spans="2:4" ht="129.6" x14ac:dyDescent="0.3">
      <c r="B54" s="31">
        <v>51</v>
      </c>
      <c r="C54" s="30" t="s">
        <v>967</v>
      </c>
      <c r="D54" s="27" t="s">
        <v>968</v>
      </c>
    </row>
    <row r="55" spans="2:4" ht="86.4" x14ac:dyDescent="0.3">
      <c r="B55" s="31">
        <v>52</v>
      </c>
      <c r="C55" s="30" t="s">
        <v>675</v>
      </c>
      <c r="D55" s="27" t="s">
        <v>969</v>
      </c>
    </row>
    <row r="56" spans="2:4" ht="129.6" x14ac:dyDescent="0.3">
      <c r="B56" s="31">
        <v>53</v>
      </c>
      <c r="C56" s="30" t="s">
        <v>970</v>
      </c>
      <c r="D56" s="27" t="s">
        <v>971</v>
      </c>
    </row>
    <row r="57" spans="2:4" ht="115.2" x14ac:dyDescent="0.3">
      <c r="B57" s="31">
        <v>54</v>
      </c>
      <c r="C57" s="30" t="s">
        <v>972</v>
      </c>
      <c r="D57" s="27" t="s">
        <v>973</v>
      </c>
    </row>
    <row r="58" spans="2:4" ht="86.4" x14ac:dyDescent="0.3">
      <c r="B58" s="31">
        <v>55</v>
      </c>
      <c r="C58" s="30" t="s">
        <v>974</v>
      </c>
      <c r="D58" s="27" t="s">
        <v>975</v>
      </c>
    </row>
    <row r="59" spans="2:4" ht="86.4" x14ac:dyDescent="0.3">
      <c r="B59" s="31">
        <v>56</v>
      </c>
      <c r="C59" s="30" t="s">
        <v>976</v>
      </c>
      <c r="D59" s="27" t="s">
        <v>977</v>
      </c>
    </row>
    <row r="60" spans="2:4" ht="100.8" x14ac:dyDescent="0.3">
      <c r="B60" s="31">
        <v>57</v>
      </c>
      <c r="C60" s="30" t="s">
        <v>978</v>
      </c>
      <c r="D60" s="27" t="s">
        <v>979</v>
      </c>
    </row>
    <row r="61" spans="2:4" ht="86.4" x14ac:dyDescent="0.3">
      <c r="B61" s="31">
        <v>58</v>
      </c>
      <c r="C61" s="30" t="s">
        <v>980</v>
      </c>
      <c r="D61" s="27" t="s">
        <v>981</v>
      </c>
    </row>
    <row r="62" spans="2:4" ht="72" x14ac:dyDescent="0.3">
      <c r="B62" s="31">
        <v>59</v>
      </c>
      <c r="C62" s="30" t="s">
        <v>982</v>
      </c>
      <c r="D62" s="27" t="s">
        <v>983</v>
      </c>
    </row>
    <row r="65" spans="3:5" ht="28.8" x14ac:dyDescent="0.3">
      <c r="C65" s="29" t="s">
        <v>984</v>
      </c>
      <c r="D65" s="28" t="s">
        <v>985</v>
      </c>
      <c r="E65" s="20" t="s">
        <v>20</v>
      </c>
    </row>
    <row r="66" spans="3:5" ht="72" x14ac:dyDescent="0.3">
      <c r="C66" s="30" t="s">
        <v>986</v>
      </c>
      <c r="D66" s="27" t="s">
        <v>987</v>
      </c>
      <c r="E66" s="1" t="s">
        <v>988</v>
      </c>
    </row>
    <row r="67" spans="3:5" ht="57.6" x14ac:dyDescent="0.3">
      <c r="C67" s="30" t="s">
        <v>989</v>
      </c>
      <c r="D67" s="27" t="s">
        <v>990</v>
      </c>
      <c r="E67" s="1" t="s">
        <v>991</v>
      </c>
    </row>
    <row r="68" spans="3:5" ht="86.4" x14ac:dyDescent="0.3">
      <c r="C68" s="30" t="s">
        <v>992</v>
      </c>
      <c r="D68" s="27" t="s">
        <v>993</v>
      </c>
      <c r="E68" s="1" t="s">
        <v>994</v>
      </c>
    </row>
    <row r="69" spans="3:5" ht="57.6" x14ac:dyDescent="0.3">
      <c r="C69" s="30" t="s">
        <v>995</v>
      </c>
      <c r="D69" s="27" t="s">
        <v>996</v>
      </c>
      <c r="E69" s="1" t="s">
        <v>997</v>
      </c>
    </row>
    <row r="70" spans="3:5" ht="57.6" x14ac:dyDescent="0.3">
      <c r="C70" s="30" t="s">
        <v>998</v>
      </c>
      <c r="D70" s="27" t="s">
        <v>999</v>
      </c>
      <c r="E70" s="1" t="s">
        <v>1000</v>
      </c>
    </row>
    <row r="72" spans="3:5" ht="28.8" x14ac:dyDescent="0.3">
      <c r="C72" s="29" t="s">
        <v>1001</v>
      </c>
      <c r="D72" s="28" t="s">
        <v>1002</v>
      </c>
    </row>
    <row r="73" spans="3:5" ht="86.4" x14ac:dyDescent="0.3">
      <c r="C73" s="30" t="s">
        <v>1003</v>
      </c>
      <c r="D73" s="27" t="s">
        <v>1004</v>
      </c>
    </row>
    <row r="74" spans="3:5" ht="129.6" x14ac:dyDescent="0.3">
      <c r="C74" s="30" t="s">
        <v>1005</v>
      </c>
      <c r="D74" s="27" t="s">
        <v>1006</v>
      </c>
    </row>
    <row r="75" spans="3:5" ht="115.2" x14ac:dyDescent="0.3">
      <c r="C75" s="30" t="s">
        <v>1007</v>
      </c>
      <c r="D75" s="27" t="s">
        <v>1008</v>
      </c>
    </row>
    <row r="76" spans="3:5" ht="115.2" x14ac:dyDescent="0.3">
      <c r="C76" s="30" t="s">
        <v>1009</v>
      </c>
      <c r="D76" s="27" t="s">
        <v>1010</v>
      </c>
    </row>
    <row r="77" spans="3:5" ht="100.8" x14ac:dyDescent="0.3">
      <c r="C77" s="30" t="s">
        <v>1011</v>
      </c>
      <c r="D77" s="27" t="s">
        <v>1012</v>
      </c>
    </row>
    <row r="78" spans="3:5" ht="144" x14ac:dyDescent="0.3">
      <c r="C78" s="30" t="s">
        <v>1013</v>
      </c>
      <c r="D78" s="27" t="s">
        <v>1014</v>
      </c>
    </row>
    <row r="79" spans="3:5" ht="129.6" x14ac:dyDescent="0.3">
      <c r="C79" s="30" t="s">
        <v>1015</v>
      </c>
      <c r="D79" s="27" t="s">
        <v>1016</v>
      </c>
    </row>
    <row r="80" spans="3:5" ht="115.2" x14ac:dyDescent="0.3">
      <c r="C80" s="30" t="s">
        <v>1017</v>
      </c>
      <c r="D80" s="27" t="s">
        <v>1018</v>
      </c>
    </row>
    <row r="83" spans="3:6" x14ac:dyDescent="0.3">
      <c r="C83" s="29" t="s">
        <v>1019</v>
      </c>
      <c r="D83" s="28" t="s">
        <v>1020</v>
      </c>
      <c r="E83" s="19" t="s">
        <v>1021</v>
      </c>
      <c r="F83" s="19" t="s">
        <v>1022</v>
      </c>
    </row>
    <row r="84" spans="3:6" x14ac:dyDescent="0.3">
      <c r="C84" s="30" t="s">
        <v>1023</v>
      </c>
      <c r="D84" s="27" t="s">
        <v>1024</v>
      </c>
      <c r="E84" t="s">
        <v>1025</v>
      </c>
      <c r="F84" t="s">
        <v>1026</v>
      </c>
    </row>
    <row r="85" spans="3:6" x14ac:dyDescent="0.3">
      <c r="C85" s="30" t="s">
        <v>1027</v>
      </c>
      <c r="D85" s="27" t="s">
        <v>1028</v>
      </c>
      <c r="E85" t="s">
        <v>1025</v>
      </c>
      <c r="F85" t="s">
        <v>1029</v>
      </c>
    </row>
    <row r="86" spans="3:6" x14ac:dyDescent="0.3">
      <c r="C86" s="30" t="s">
        <v>1030</v>
      </c>
      <c r="D86" s="27" t="s">
        <v>1031</v>
      </c>
      <c r="E86" t="s">
        <v>1032</v>
      </c>
      <c r="F86" t="s">
        <v>1033</v>
      </c>
    </row>
    <row r="87" spans="3:6" x14ac:dyDescent="0.3">
      <c r="C87" s="30" t="s">
        <v>1034</v>
      </c>
      <c r="D87" s="27" t="s">
        <v>1035</v>
      </c>
      <c r="E87" t="s">
        <v>1025</v>
      </c>
      <c r="F87" t="s">
        <v>1036</v>
      </c>
    </row>
    <row r="88" spans="3:6" x14ac:dyDescent="0.3">
      <c r="C88" s="30" t="s">
        <v>1037</v>
      </c>
      <c r="D88" s="27" t="s">
        <v>1038</v>
      </c>
      <c r="E88" t="s">
        <v>1025</v>
      </c>
      <c r="F88" t="s">
        <v>1039</v>
      </c>
    </row>
    <row r="89" spans="3:6" x14ac:dyDescent="0.3">
      <c r="C89" s="30" t="s">
        <v>1040</v>
      </c>
      <c r="D89" s="27" t="s">
        <v>1041</v>
      </c>
      <c r="E89" t="s">
        <v>1025</v>
      </c>
      <c r="F89" t="s">
        <v>1042</v>
      </c>
    </row>
    <row r="90" spans="3:6" x14ac:dyDescent="0.3">
      <c r="C90" s="30" t="s">
        <v>1043</v>
      </c>
      <c r="D90" s="27" t="s">
        <v>1044</v>
      </c>
      <c r="E90" t="s">
        <v>1045</v>
      </c>
      <c r="F90" t="s">
        <v>1046</v>
      </c>
    </row>
    <row r="91" spans="3:6" x14ac:dyDescent="0.3">
      <c r="C91" s="30" t="s">
        <v>1047</v>
      </c>
      <c r="D91" s="27" t="s">
        <v>1048</v>
      </c>
      <c r="E91" t="s">
        <v>1025</v>
      </c>
      <c r="F91" t="s">
        <v>1049</v>
      </c>
    </row>
    <row r="93" spans="3:6" x14ac:dyDescent="0.3">
      <c r="C93" s="29" t="s">
        <v>1019</v>
      </c>
      <c r="D93" s="28" t="s">
        <v>1020</v>
      </c>
      <c r="E93" s="19" t="s">
        <v>1021</v>
      </c>
      <c r="F93" s="19" t="s">
        <v>1022</v>
      </c>
    </row>
    <row r="94" spans="3:6" x14ac:dyDescent="0.3">
      <c r="C94" s="30" t="s">
        <v>1050</v>
      </c>
      <c r="D94" s="27" t="s">
        <v>1051</v>
      </c>
      <c r="E94" t="s">
        <v>1025</v>
      </c>
      <c r="F94" t="s">
        <v>1052</v>
      </c>
    </row>
    <row r="95" spans="3:6" x14ac:dyDescent="0.3">
      <c r="C95" s="30" t="s">
        <v>1023</v>
      </c>
      <c r="D95" s="27" t="s">
        <v>1053</v>
      </c>
      <c r="E95" t="s">
        <v>1025</v>
      </c>
      <c r="F95" t="s">
        <v>1026</v>
      </c>
    </row>
    <row r="96" spans="3:6" x14ac:dyDescent="0.3">
      <c r="C96" s="30" t="s">
        <v>1030</v>
      </c>
      <c r="D96" s="27" t="s">
        <v>1054</v>
      </c>
      <c r="E96" t="s">
        <v>1032</v>
      </c>
      <c r="F96" t="s">
        <v>1033</v>
      </c>
    </row>
    <row r="98" spans="3:6" x14ac:dyDescent="0.3">
      <c r="C98" s="29" t="s">
        <v>1019</v>
      </c>
      <c r="D98" s="28" t="s">
        <v>1020</v>
      </c>
      <c r="E98" s="19" t="s">
        <v>1021</v>
      </c>
      <c r="F98" s="19" t="s">
        <v>1022</v>
      </c>
    </row>
    <row r="99" spans="3:6" x14ac:dyDescent="0.3">
      <c r="C99" s="30" t="s">
        <v>1055</v>
      </c>
      <c r="D99" s="27" t="s">
        <v>1056</v>
      </c>
      <c r="E99" t="s">
        <v>1025</v>
      </c>
      <c r="F99" t="s">
        <v>1057</v>
      </c>
    </row>
    <row r="100" spans="3:6" x14ac:dyDescent="0.3">
      <c r="C100" s="30" t="s">
        <v>1058</v>
      </c>
      <c r="D100" s="27" t="s">
        <v>1059</v>
      </c>
      <c r="E100" t="s">
        <v>1025</v>
      </c>
      <c r="F100" t="s">
        <v>1060</v>
      </c>
    </row>
    <row r="101" spans="3:6" x14ac:dyDescent="0.3">
      <c r="C101" s="30" t="s">
        <v>1061</v>
      </c>
      <c r="D101" s="27" t="s">
        <v>1062</v>
      </c>
      <c r="E101" t="s">
        <v>1025</v>
      </c>
      <c r="F101" t="s">
        <v>1063</v>
      </c>
    </row>
    <row r="102" spans="3:6" x14ac:dyDescent="0.3">
      <c r="C102" s="30" t="s">
        <v>1064</v>
      </c>
      <c r="D102" s="27" t="s">
        <v>1065</v>
      </c>
      <c r="E102" t="s">
        <v>1025</v>
      </c>
      <c r="F102" t="s">
        <v>1066</v>
      </c>
    </row>
    <row r="103" spans="3:6" x14ac:dyDescent="0.3">
      <c r="C103" s="30" t="s">
        <v>1037</v>
      </c>
      <c r="D103" s="27" t="s">
        <v>1067</v>
      </c>
      <c r="E103" t="s">
        <v>1025</v>
      </c>
      <c r="F103" t="s">
        <v>1068</v>
      </c>
    </row>
    <row r="105" spans="3:6" x14ac:dyDescent="0.3">
      <c r="C105" s="29" t="s">
        <v>1019</v>
      </c>
      <c r="D105" s="28" t="s">
        <v>1020</v>
      </c>
      <c r="E105" s="19" t="s">
        <v>1021</v>
      </c>
      <c r="F105" s="19" t="s">
        <v>1022</v>
      </c>
    </row>
    <row r="106" spans="3:6" x14ac:dyDescent="0.3">
      <c r="C106" s="30" t="s">
        <v>1069</v>
      </c>
      <c r="D106" s="27" t="s">
        <v>1070</v>
      </c>
      <c r="E106" t="s">
        <v>1025</v>
      </c>
      <c r="F106" t="s">
        <v>1071</v>
      </c>
    </row>
    <row r="107" spans="3:6" x14ac:dyDescent="0.3">
      <c r="C107" s="30" t="s">
        <v>1030</v>
      </c>
      <c r="D107" s="27" t="s">
        <v>1054</v>
      </c>
      <c r="E107" t="s">
        <v>1032</v>
      </c>
      <c r="F107" t="s">
        <v>1033</v>
      </c>
    </row>
    <row r="108" spans="3:6" x14ac:dyDescent="0.3">
      <c r="C108" s="30" t="s">
        <v>1072</v>
      </c>
      <c r="D108" s="27" t="s">
        <v>1073</v>
      </c>
      <c r="E108" t="s">
        <v>1032</v>
      </c>
      <c r="F108" t="s">
        <v>1074</v>
      </c>
    </row>
    <row r="109" spans="3:6" x14ac:dyDescent="0.3">
      <c r="C109" s="30" t="s">
        <v>1075</v>
      </c>
      <c r="D109" s="27" t="s">
        <v>1076</v>
      </c>
      <c r="E109" t="s">
        <v>1025</v>
      </c>
      <c r="F109" t="s">
        <v>1077</v>
      </c>
    </row>
    <row r="110" spans="3:6" x14ac:dyDescent="0.3">
      <c r="C110" s="30" t="s">
        <v>1078</v>
      </c>
      <c r="D110" s="27" t="s">
        <v>1079</v>
      </c>
      <c r="E110" t="s">
        <v>1025</v>
      </c>
      <c r="F110" t="s">
        <v>1080</v>
      </c>
    </row>
    <row r="111" spans="3:6" x14ac:dyDescent="0.3">
      <c r="C111" s="30" t="s">
        <v>1081</v>
      </c>
      <c r="D111" s="27" t="s">
        <v>1082</v>
      </c>
      <c r="E111" t="s">
        <v>1025</v>
      </c>
      <c r="F111" t="s">
        <v>1083</v>
      </c>
    </row>
    <row r="112" spans="3:6" x14ac:dyDescent="0.3">
      <c r="C112" s="30" t="s">
        <v>1084</v>
      </c>
      <c r="D112" s="27" t="s">
        <v>1085</v>
      </c>
      <c r="E112" t="s">
        <v>1025</v>
      </c>
      <c r="F112" t="s">
        <v>1086</v>
      </c>
    </row>
    <row r="113" spans="3:7" x14ac:dyDescent="0.3">
      <c r="C113" s="30" t="s">
        <v>1087</v>
      </c>
      <c r="D113" s="27" t="s">
        <v>1088</v>
      </c>
      <c r="E113" t="s">
        <v>1025</v>
      </c>
      <c r="F113" t="s">
        <v>1089</v>
      </c>
    </row>
    <row r="114" spans="3:7" x14ac:dyDescent="0.3">
      <c r="C114" s="30" t="s">
        <v>1090</v>
      </c>
      <c r="D114" s="27" t="s">
        <v>1091</v>
      </c>
      <c r="E114" t="s">
        <v>1032</v>
      </c>
      <c r="F114" t="s">
        <v>1092</v>
      </c>
    </row>
    <row r="115" spans="3:7" x14ac:dyDescent="0.3">
      <c r="C115" s="30" t="s">
        <v>586</v>
      </c>
      <c r="D115" s="27" t="s">
        <v>1093</v>
      </c>
      <c r="E115" t="s">
        <v>1025</v>
      </c>
      <c r="F115" t="s">
        <v>1094</v>
      </c>
    </row>
    <row r="116" spans="3:7" x14ac:dyDescent="0.3">
      <c r="C116" s="30" t="s">
        <v>1095</v>
      </c>
      <c r="D116" s="27" t="s">
        <v>1096</v>
      </c>
      <c r="E116" t="s">
        <v>1032</v>
      </c>
      <c r="F116" t="s">
        <v>1097</v>
      </c>
    </row>
    <row r="119" spans="3:7" x14ac:dyDescent="0.3">
      <c r="C119" s="29" t="s">
        <v>1019</v>
      </c>
      <c r="D119" s="28" t="s">
        <v>1020</v>
      </c>
      <c r="E119" s="19" t="s">
        <v>1021</v>
      </c>
      <c r="F119" s="19" t="s">
        <v>1022</v>
      </c>
    </row>
    <row r="120" spans="3:7" x14ac:dyDescent="0.3">
      <c r="C120" s="30" t="s">
        <v>1098</v>
      </c>
      <c r="D120" s="27">
        <v>16</v>
      </c>
      <c r="E120" t="s">
        <v>1099</v>
      </c>
      <c r="F120" t="s">
        <v>1100</v>
      </c>
    </row>
    <row r="121" spans="3:7" x14ac:dyDescent="0.3">
      <c r="C121" s="30" t="s">
        <v>1101</v>
      </c>
      <c r="D121" s="27">
        <v>7</v>
      </c>
      <c r="E121" t="s">
        <v>1102</v>
      </c>
      <c r="F121" t="s">
        <v>1103</v>
      </c>
    </row>
    <row r="122" spans="3:7" x14ac:dyDescent="0.3">
      <c r="C122" s="30" t="s">
        <v>1104</v>
      </c>
      <c r="D122" s="27" t="s">
        <v>646</v>
      </c>
      <c r="E122" t="s">
        <v>1105</v>
      </c>
      <c r="F122" t="s">
        <v>1106</v>
      </c>
    </row>
    <row r="125" spans="3:7" x14ac:dyDescent="0.3">
      <c r="C125" s="29" t="s">
        <v>1107</v>
      </c>
      <c r="D125" s="28" t="s">
        <v>1108</v>
      </c>
      <c r="E125" s="32" t="s">
        <v>1109</v>
      </c>
      <c r="F125" s="32" t="s">
        <v>1110</v>
      </c>
      <c r="G125" s="32" t="s">
        <v>1111</v>
      </c>
    </row>
    <row r="126" spans="3:7" ht="28.8" x14ac:dyDescent="0.3">
      <c r="C126" s="30" t="s">
        <v>1112</v>
      </c>
      <c r="D126" s="2" t="s">
        <v>654</v>
      </c>
      <c r="E126" s="31" t="s">
        <v>657</v>
      </c>
      <c r="F126" s="31" t="s">
        <v>1113</v>
      </c>
      <c r="G126" s="31" t="s">
        <v>1113</v>
      </c>
    </row>
    <row r="127" spans="3:7" ht="28.8" x14ac:dyDescent="0.3">
      <c r="C127" s="30" t="s">
        <v>1114</v>
      </c>
      <c r="D127" s="2" t="s">
        <v>654</v>
      </c>
      <c r="E127" s="31" t="s">
        <v>657</v>
      </c>
      <c r="F127" s="31" t="s">
        <v>657</v>
      </c>
      <c r="G127" s="31" t="s">
        <v>654</v>
      </c>
    </row>
    <row r="128" spans="3:7" ht="28.8" x14ac:dyDescent="0.3">
      <c r="C128" s="30" t="s">
        <v>1115</v>
      </c>
      <c r="D128" s="2" t="s">
        <v>654</v>
      </c>
      <c r="E128" s="31" t="s">
        <v>1113</v>
      </c>
      <c r="F128" s="31" t="s">
        <v>1113</v>
      </c>
      <c r="G128" s="31" t="s">
        <v>1113</v>
      </c>
    </row>
    <row r="129" spans="3:7" ht="28.8" x14ac:dyDescent="0.3">
      <c r="C129" s="30" t="s">
        <v>1116</v>
      </c>
      <c r="D129" s="2" t="s">
        <v>654</v>
      </c>
      <c r="E129" s="31" t="s">
        <v>657</v>
      </c>
      <c r="F129" s="31" t="s">
        <v>657</v>
      </c>
      <c r="G129" s="31" t="s">
        <v>657</v>
      </c>
    </row>
    <row r="130" spans="3:7" ht="28.8" x14ac:dyDescent="0.3">
      <c r="C130" s="30" t="s">
        <v>1117</v>
      </c>
      <c r="D130" s="2" t="s">
        <v>654</v>
      </c>
      <c r="E130" s="31" t="s">
        <v>1118</v>
      </c>
      <c r="F130" s="31" t="s">
        <v>1118</v>
      </c>
      <c r="G130" s="31" t="s">
        <v>1119</v>
      </c>
    </row>
    <row r="131" spans="3:7" x14ac:dyDescent="0.3">
      <c r="C131" s="30" t="s">
        <v>1120</v>
      </c>
      <c r="D131" s="2" t="s">
        <v>1121</v>
      </c>
      <c r="E131" s="31" t="s">
        <v>1122</v>
      </c>
      <c r="F131" s="31" t="s">
        <v>1122</v>
      </c>
      <c r="G131" s="31" t="s">
        <v>1123</v>
      </c>
    </row>
    <row r="134" spans="3:7" x14ac:dyDescent="0.3">
      <c r="C134" s="29" t="s">
        <v>1107</v>
      </c>
      <c r="D134" s="23" t="s">
        <v>1124</v>
      </c>
      <c r="E134" s="24" t="s">
        <v>1125</v>
      </c>
      <c r="F134" s="24" t="s">
        <v>1126</v>
      </c>
      <c r="G134" s="24" t="s">
        <v>1127</v>
      </c>
    </row>
    <row r="135" spans="3:7" ht="28.8" x14ac:dyDescent="0.3">
      <c r="C135" s="30" t="s">
        <v>1128</v>
      </c>
      <c r="D135" s="33" t="s">
        <v>1129</v>
      </c>
      <c r="E135" s="34" t="s">
        <v>1130</v>
      </c>
      <c r="F135" s="34" t="s">
        <v>1130</v>
      </c>
      <c r="G135" s="34" t="s">
        <v>1131</v>
      </c>
    </row>
    <row r="136" spans="3:7" x14ac:dyDescent="0.3">
      <c r="C136" s="30" t="s">
        <v>1132</v>
      </c>
      <c r="D136" s="33" t="s">
        <v>1133</v>
      </c>
      <c r="E136" s="34" t="s">
        <v>1134</v>
      </c>
      <c r="F136" s="34" t="s">
        <v>654</v>
      </c>
      <c r="G136" s="34" t="s">
        <v>654</v>
      </c>
    </row>
    <row r="137" spans="3:7" x14ac:dyDescent="0.3">
      <c r="C137" s="30" t="s">
        <v>1120</v>
      </c>
      <c r="D137" s="33" t="s">
        <v>1121</v>
      </c>
      <c r="E137" s="34" t="s">
        <v>1123</v>
      </c>
      <c r="F137" s="34" t="s">
        <v>1122</v>
      </c>
      <c r="G137" s="34" t="s">
        <v>1122</v>
      </c>
    </row>
    <row r="138" spans="3:7" x14ac:dyDescent="0.3">
      <c r="C138" s="30" t="s">
        <v>1135</v>
      </c>
      <c r="D138" s="33" t="s">
        <v>1136</v>
      </c>
      <c r="E138" s="34" t="s">
        <v>654</v>
      </c>
      <c r="F138" s="34" t="s">
        <v>654</v>
      </c>
      <c r="G138" s="34" t="s">
        <v>1119</v>
      </c>
    </row>
    <row r="139" spans="3:7" ht="28.8" x14ac:dyDescent="0.3">
      <c r="C139" s="30" t="s">
        <v>1137</v>
      </c>
      <c r="D139" s="33" t="s">
        <v>1138</v>
      </c>
      <c r="E139" s="34" t="s">
        <v>646</v>
      </c>
      <c r="F139" s="34" t="s">
        <v>646</v>
      </c>
      <c r="G139" s="34" t="s">
        <v>654</v>
      </c>
    </row>
    <row r="141" spans="3:7" x14ac:dyDescent="0.3">
      <c r="C141" s="29" t="s">
        <v>1107</v>
      </c>
      <c r="D141" s="28" t="s">
        <v>1139</v>
      </c>
      <c r="E141" s="19" t="s">
        <v>1140</v>
      </c>
      <c r="F141" s="19" t="s">
        <v>1141</v>
      </c>
      <c r="G141" s="19" t="s">
        <v>1142</v>
      </c>
    </row>
    <row r="142" spans="3:7" x14ac:dyDescent="0.3">
      <c r="C142" s="30" t="s">
        <v>1143</v>
      </c>
      <c r="D142" s="27" t="s">
        <v>654</v>
      </c>
      <c r="E142" t="s">
        <v>657</v>
      </c>
      <c r="F142" t="s">
        <v>654</v>
      </c>
      <c r="G142" t="s">
        <v>1113</v>
      </c>
    </row>
    <row r="143" spans="3:7" x14ac:dyDescent="0.3">
      <c r="C143" s="30" t="s">
        <v>1144</v>
      </c>
      <c r="D143" s="27" t="s">
        <v>654</v>
      </c>
      <c r="E143" t="s">
        <v>657</v>
      </c>
      <c r="F143" t="s">
        <v>657</v>
      </c>
      <c r="G143" t="s">
        <v>657</v>
      </c>
    </row>
    <row r="144" spans="3:7" x14ac:dyDescent="0.3">
      <c r="C144" s="30" t="s">
        <v>1145</v>
      </c>
      <c r="D144" s="27" t="s">
        <v>654</v>
      </c>
      <c r="E144" t="s">
        <v>654</v>
      </c>
      <c r="F144" t="s">
        <v>654</v>
      </c>
      <c r="G144" t="s">
        <v>654</v>
      </c>
    </row>
    <row r="145" spans="3:7" ht="28.8" x14ac:dyDescent="0.3">
      <c r="C145" s="30" t="s">
        <v>1146</v>
      </c>
      <c r="D145" s="27" t="s">
        <v>654</v>
      </c>
      <c r="E145" t="s">
        <v>654</v>
      </c>
      <c r="F145" t="s">
        <v>654</v>
      </c>
      <c r="G145" t="s">
        <v>1113</v>
      </c>
    </row>
    <row r="146" spans="3:7" ht="28.8" x14ac:dyDescent="0.3">
      <c r="C146" s="30" t="s">
        <v>1147</v>
      </c>
      <c r="D146" s="27" t="s">
        <v>654</v>
      </c>
      <c r="E146" t="s">
        <v>1113</v>
      </c>
      <c r="F146" t="s">
        <v>1113</v>
      </c>
      <c r="G146" t="s">
        <v>1113</v>
      </c>
    </row>
    <row r="148" spans="3:7" x14ac:dyDescent="0.3">
      <c r="C148" s="25" t="s">
        <v>1107</v>
      </c>
      <c r="D148" s="23" t="s">
        <v>1148</v>
      </c>
      <c r="E148" s="24" t="s">
        <v>1149</v>
      </c>
      <c r="F148" s="24" t="s">
        <v>1150</v>
      </c>
      <c r="G148" s="24" t="s">
        <v>1151</v>
      </c>
    </row>
    <row r="149" spans="3:7" ht="28.8" x14ac:dyDescent="0.3">
      <c r="C149" s="35" t="s">
        <v>1152</v>
      </c>
      <c r="D149" s="2" t="s">
        <v>654</v>
      </c>
      <c r="E149" s="31" t="s">
        <v>657</v>
      </c>
      <c r="F149" s="31" t="s">
        <v>657</v>
      </c>
      <c r="G149" s="31" t="s">
        <v>1153</v>
      </c>
    </row>
    <row r="150" spans="3:7" x14ac:dyDescent="0.3">
      <c r="C150" s="35" t="s">
        <v>1154</v>
      </c>
      <c r="D150" s="2" t="s">
        <v>654</v>
      </c>
      <c r="E150" s="31" t="s">
        <v>654</v>
      </c>
      <c r="F150" s="31" t="s">
        <v>1113</v>
      </c>
      <c r="G150" s="31" t="s">
        <v>654</v>
      </c>
    </row>
    <row r="151" spans="3:7" ht="28.8" x14ac:dyDescent="0.3">
      <c r="C151" s="35" t="s">
        <v>1155</v>
      </c>
      <c r="D151" s="2" t="s">
        <v>654</v>
      </c>
      <c r="E151" s="31" t="s">
        <v>657</v>
      </c>
      <c r="F151" s="31" t="s">
        <v>657</v>
      </c>
      <c r="G151" s="31" t="s">
        <v>654</v>
      </c>
    </row>
    <row r="152" spans="3:7" ht="28.8" x14ac:dyDescent="0.3">
      <c r="C152" s="35" t="s">
        <v>1156</v>
      </c>
      <c r="D152" s="2" t="s">
        <v>654</v>
      </c>
      <c r="E152" s="31" t="s">
        <v>1113</v>
      </c>
      <c r="F152" s="31" t="s">
        <v>654</v>
      </c>
      <c r="G152" s="31" t="s">
        <v>654</v>
      </c>
    </row>
    <row r="153" spans="3:7" ht="28.8" x14ac:dyDescent="0.3">
      <c r="C153" s="35" t="s">
        <v>1157</v>
      </c>
      <c r="D153" s="2" t="s">
        <v>654</v>
      </c>
      <c r="E153" s="31" t="s">
        <v>654</v>
      </c>
      <c r="F153" s="31" t="s">
        <v>654</v>
      </c>
      <c r="G153" s="31" t="s">
        <v>1113</v>
      </c>
    </row>
  </sheetData>
  <pageMargins left="0.7" right="0.7" top="0.75" bottom="0.75" header="0.3" footer="0.3"/>
  <tableParts count="13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98916-CACD-4897-9BEB-DEF1CFB9E835}">
  <dimension ref="B4:S28"/>
  <sheetViews>
    <sheetView workbookViewId="0">
      <selection activeCell="B31" sqref="B31"/>
    </sheetView>
  </sheetViews>
  <sheetFormatPr baseColWidth="10" defaultRowHeight="14.4" x14ac:dyDescent="0.3"/>
  <cols>
    <col min="2" max="2" width="25.88671875" style="27" customWidth="1"/>
    <col min="3" max="3" width="14.44140625" style="27" customWidth="1"/>
    <col min="4" max="12" width="3" bestFit="1" customWidth="1"/>
    <col min="13" max="19" width="4" bestFit="1" customWidth="1"/>
  </cols>
  <sheetData>
    <row r="4" spans="2:19" x14ac:dyDescent="0.3">
      <c r="B4" s="37" t="s">
        <v>1158</v>
      </c>
      <c r="C4" s="37" t="s">
        <v>1159</v>
      </c>
      <c r="D4" s="13" t="s">
        <v>1160</v>
      </c>
      <c r="E4" s="13" t="s">
        <v>1161</v>
      </c>
      <c r="F4" s="13" t="s">
        <v>1162</v>
      </c>
      <c r="G4" s="13" t="s">
        <v>1163</v>
      </c>
      <c r="H4" s="13" t="s">
        <v>1164</v>
      </c>
      <c r="I4" s="13" t="s">
        <v>1165</v>
      </c>
      <c r="J4" s="13" t="s">
        <v>1166</v>
      </c>
      <c r="K4" s="13" t="s">
        <v>1167</v>
      </c>
      <c r="L4" s="13" t="s">
        <v>1168</v>
      </c>
      <c r="M4" s="13" t="s">
        <v>1169</v>
      </c>
      <c r="N4" s="13" t="s">
        <v>1170</v>
      </c>
      <c r="O4" s="13" t="s">
        <v>1171</v>
      </c>
      <c r="P4" s="13" t="s">
        <v>1172</v>
      </c>
      <c r="Q4" s="13" t="s">
        <v>1173</v>
      </c>
      <c r="R4" s="13" t="s">
        <v>1174</v>
      </c>
      <c r="S4" s="13" t="s">
        <v>1213</v>
      </c>
    </row>
    <row r="5" spans="2:19" x14ac:dyDescent="0.3">
      <c r="B5" s="36" t="s">
        <v>1212</v>
      </c>
      <c r="C5" s="36"/>
      <c r="D5" s="38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</row>
    <row r="6" spans="2:19" ht="28.8" x14ac:dyDescent="0.3">
      <c r="B6" s="37" t="s">
        <v>1175</v>
      </c>
      <c r="C6" s="37" t="s">
        <v>1176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</row>
    <row r="7" spans="2:19" ht="28.8" x14ac:dyDescent="0.3">
      <c r="B7" s="36" t="s">
        <v>1177</v>
      </c>
      <c r="C7" s="36" t="s">
        <v>725</v>
      </c>
      <c r="D7" s="11"/>
      <c r="E7" s="38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</row>
    <row r="8" spans="2:19" ht="28.8" x14ac:dyDescent="0.3">
      <c r="B8" s="36" t="s">
        <v>1178</v>
      </c>
      <c r="C8" s="36" t="s">
        <v>727</v>
      </c>
      <c r="D8" s="11"/>
      <c r="E8" s="38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</row>
    <row r="9" spans="2:19" ht="28.8" x14ac:dyDescent="0.3">
      <c r="B9" s="36" t="s">
        <v>1179</v>
      </c>
      <c r="C9" s="36" t="s">
        <v>1180</v>
      </c>
      <c r="D9" s="11"/>
      <c r="E9" s="11"/>
      <c r="F9" s="38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</row>
    <row r="10" spans="2:19" ht="28.8" x14ac:dyDescent="0.3">
      <c r="B10" s="36" t="s">
        <v>1181</v>
      </c>
      <c r="C10" s="36" t="s">
        <v>1182</v>
      </c>
      <c r="D10" s="11"/>
      <c r="E10" s="11"/>
      <c r="F10" s="38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</row>
    <row r="11" spans="2:19" ht="28.8" x14ac:dyDescent="0.3">
      <c r="B11" s="37" t="s">
        <v>1183</v>
      </c>
      <c r="C11" s="37" t="s">
        <v>1184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</row>
    <row r="12" spans="2:19" ht="28.8" x14ac:dyDescent="0.3">
      <c r="B12" s="36" t="s">
        <v>1185</v>
      </c>
      <c r="C12" s="36" t="s">
        <v>1186</v>
      </c>
      <c r="D12" s="11"/>
      <c r="E12" s="11"/>
      <c r="F12" s="11"/>
      <c r="G12" s="38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</row>
    <row r="13" spans="2:19" ht="28.8" x14ac:dyDescent="0.3">
      <c r="B13" s="36" t="s">
        <v>1187</v>
      </c>
      <c r="C13" s="36" t="s">
        <v>1188</v>
      </c>
      <c r="D13" s="11"/>
      <c r="E13" s="11"/>
      <c r="F13" s="11"/>
      <c r="G13" s="11"/>
      <c r="H13" s="38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</row>
    <row r="14" spans="2:19" ht="43.2" x14ac:dyDescent="0.3">
      <c r="B14" s="36" t="s">
        <v>1189</v>
      </c>
      <c r="C14" s="36" t="s">
        <v>1190</v>
      </c>
      <c r="D14" s="11"/>
      <c r="E14" s="11"/>
      <c r="F14" s="11"/>
      <c r="G14" s="11"/>
      <c r="H14" s="11"/>
      <c r="I14" s="38"/>
      <c r="J14" s="11"/>
      <c r="K14" s="11"/>
      <c r="L14" s="11"/>
      <c r="M14" s="11"/>
      <c r="N14" s="11"/>
      <c r="O14" s="11"/>
      <c r="P14" s="11"/>
      <c r="Q14" s="11"/>
      <c r="R14" s="11"/>
      <c r="S14" s="11"/>
    </row>
    <row r="15" spans="2:19" ht="28.8" x14ac:dyDescent="0.3">
      <c r="B15" s="37" t="s">
        <v>1191</v>
      </c>
      <c r="C15" s="37" t="s">
        <v>1176</v>
      </c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</row>
    <row r="16" spans="2:19" ht="28.8" x14ac:dyDescent="0.3">
      <c r="B16" s="36" t="s">
        <v>1192</v>
      </c>
      <c r="C16" s="36" t="s">
        <v>1193</v>
      </c>
      <c r="D16" s="11"/>
      <c r="E16" s="11"/>
      <c r="F16" s="11"/>
      <c r="G16" s="11"/>
      <c r="H16" s="11"/>
      <c r="I16" s="11"/>
      <c r="J16" s="38"/>
      <c r="K16" s="11"/>
      <c r="L16" s="11"/>
      <c r="M16" s="11"/>
      <c r="N16" s="11"/>
      <c r="O16" s="11"/>
      <c r="P16" s="11"/>
      <c r="Q16" s="11"/>
      <c r="R16" s="11"/>
      <c r="S16" s="11"/>
    </row>
    <row r="17" spans="2:19" ht="43.2" x14ac:dyDescent="0.3">
      <c r="B17" s="36" t="s">
        <v>1194</v>
      </c>
      <c r="C17" s="36" t="s">
        <v>1195</v>
      </c>
      <c r="D17" s="11"/>
      <c r="E17" s="11"/>
      <c r="F17" s="11"/>
      <c r="G17" s="11"/>
      <c r="H17" s="11"/>
      <c r="I17" s="11"/>
      <c r="J17" s="11"/>
      <c r="K17" s="38"/>
      <c r="L17" s="11"/>
      <c r="M17" s="11"/>
      <c r="N17" s="11"/>
      <c r="O17" s="11"/>
      <c r="P17" s="11"/>
      <c r="Q17" s="11"/>
      <c r="R17" s="11"/>
      <c r="S17" s="11"/>
    </row>
    <row r="18" spans="2:19" ht="43.2" x14ac:dyDescent="0.3">
      <c r="B18" s="36" t="s">
        <v>1196</v>
      </c>
      <c r="C18" s="36" t="s">
        <v>1197</v>
      </c>
      <c r="D18" s="11"/>
      <c r="E18" s="11"/>
      <c r="F18" s="11"/>
      <c r="G18" s="11"/>
      <c r="H18" s="11"/>
      <c r="I18" s="11"/>
      <c r="J18" s="11"/>
      <c r="K18" s="11"/>
      <c r="L18" s="38"/>
      <c r="M18" s="11"/>
      <c r="N18" s="11"/>
      <c r="O18" s="11"/>
      <c r="P18" s="11"/>
      <c r="Q18" s="11"/>
      <c r="R18" s="11"/>
      <c r="S18" s="11"/>
    </row>
    <row r="19" spans="2:19" ht="28.8" x14ac:dyDescent="0.3">
      <c r="B19" s="37" t="s">
        <v>1198</v>
      </c>
      <c r="C19" s="37" t="s">
        <v>1199</v>
      </c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</row>
    <row r="20" spans="2:19" ht="43.2" x14ac:dyDescent="0.3">
      <c r="B20" s="36" t="s">
        <v>1200</v>
      </c>
      <c r="C20" s="36" t="s">
        <v>1201</v>
      </c>
      <c r="D20" s="11"/>
      <c r="E20" s="11"/>
      <c r="F20" s="11"/>
      <c r="G20" s="11"/>
      <c r="H20" s="11"/>
      <c r="I20" s="11"/>
      <c r="J20" s="11"/>
      <c r="K20" s="11"/>
      <c r="L20" s="11"/>
      <c r="M20" s="38"/>
      <c r="N20" s="11"/>
      <c r="O20" s="11"/>
      <c r="P20" s="11"/>
      <c r="Q20" s="11"/>
      <c r="R20" s="11"/>
      <c r="S20" s="11"/>
    </row>
    <row r="21" spans="2:19" ht="43.2" x14ac:dyDescent="0.3">
      <c r="B21" s="36" t="s">
        <v>1202</v>
      </c>
      <c r="C21" s="36" t="s">
        <v>1203</v>
      </c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38"/>
      <c r="O21" s="11"/>
      <c r="P21" s="11"/>
      <c r="Q21" s="11"/>
      <c r="R21" s="11"/>
      <c r="S21" s="11"/>
    </row>
    <row r="22" spans="2:19" ht="28.8" x14ac:dyDescent="0.3">
      <c r="B22" s="36" t="s">
        <v>1204</v>
      </c>
      <c r="C22" s="36" t="s">
        <v>646</v>
      </c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</row>
    <row r="23" spans="2:19" ht="28.8" x14ac:dyDescent="0.3">
      <c r="B23" s="37" t="s">
        <v>1205</v>
      </c>
      <c r="C23" s="37" t="s">
        <v>1206</v>
      </c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</row>
    <row r="24" spans="2:19" ht="28.8" x14ac:dyDescent="0.3">
      <c r="B24" s="36" t="s">
        <v>1207</v>
      </c>
      <c r="C24" s="36" t="s">
        <v>1208</v>
      </c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38"/>
      <c r="Q24" s="11"/>
      <c r="R24" s="11"/>
      <c r="S24" s="11"/>
    </row>
    <row r="25" spans="2:19" ht="28.8" x14ac:dyDescent="0.3">
      <c r="B25" s="36" t="s">
        <v>1209</v>
      </c>
      <c r="C25" s="36" t="s">
        <v>777</v>
      </c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38"/>
      <c r="R25" s="11"/>
      <c r="S25" s="11"/>
    </row>
    <row r="26" spans="2:19" ht="28.8" x14ac:dyDescent="0.3">
      <c r="B26" s="36" t="s">
        <v>1214</v>
      </c>
      <c r="C26" s="36" t="s">
        <v>646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38"/>
      <c r="S26" s="11"/>
    </row>
    <row r="27" spans="2:19" ht="28.8" x14ac:dyDescent="0.3">
      <c r="B27" s="36" t="s">
        <v>1210</v>
      </c>
      <c r="C27" s="36" t="s">
        <v>646</v>
      </c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38"/>
    </row>
    <row r="28" spans="2:19" ht="28.8" x14ac:dyDescent="0.3">
      <c r="B28" s="36" t="s">
        <v>1211</v>
      </c>
      <c r="C28" s="36" t="s">
        <v>646</v>
      </c>
      <c r="D28" s="11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1410A-2DD1-4213-93B2-7BA26A509258}">
  <dimension ref="B3:M162"/>
  <sheetViews>
    <sheetView topLeftCell="A121" workbookViewId="0">
      <selection activeCell="K5" sqref="K5:M10"/>
    </sheetView>
  </sheetViews>
  <sheetFormatPr baseColWidth="10" defaultRowHeight="14.4" x14ac:dyDescent="0.3"/>
  <cols>
    <col min="2" max="2" width="5.5546875" customWidth="1"/>
    <col min="3" max="3" width="16.109375" customWidth="1"/>
    <col min="4" max="4" width="11.109375" customWidth="1"/>
    <col min="5" max="5" width="8.109375" customWidth="1"/>
    <col min="6" max="6" width="9.33203125" customWidth="1"/>
    <col min="7" max="7" width="11.33203125" customWidth="1"/>
    <col min="8" max="8" width="12.33203125" customWidth="1"/>
    <col min="11" max="11" width="21.44140625" customWidth="1"/>
    <col min="12" max="12" width="43.77734375" customWidth="1"/>
    <col min="13" max="13" width="12.6640625" customWidth="1"/>
  </cols>
  <sheetData>
    <row r="3" spans="2:13" ht="216" x14ac:dyDescent="0.3">
      <c r="B3" s="33" t="s">
        <v>1215</v>
      </c>
      <c r="C3" s="33"/>
    </row>
    <row r="4" spans="2:13" x14ac:dyDescent="0.3">
      <c r="B4" s="33" t="s">
        <v>1216</v>
      </c>
      <c r="C4" s="33"/>
    </row>
    <row r="5" spans="2:13" ht="28.8" x14ac:dyDescent="0.3">
      <c r="B5" s="40" t="s">
        <v>1217</v>
      </c>
      <c r="C5" s="40" t="s">
        <v>1218</v>
      </c>
      <c r="K5" s="29" t="s">
        <v>1445</v>
      </c>
      <c r="L5" s="29" t="s">
        <v>1549</v>
      </c>
      <c r="M5" s="29" t="s">
        <v>1550</v>
      </c>
    </row>
    <row r="6" spans="2:13" ht="28.8" x14ac:dyDescent="0.3">
      <c r="B6" s="33" t="s">
        <v>1219</v>
      </c>
      <c r="C6" s="33" t="s">
        <v>1220</v>
      </c>
      <c r="K6" s="27" t="s">
        <v>1552</v>
      </c>
      <c r="L6" s="27" t="s">
        <v>1553</v>
      </c>
      <c r="M6" s="27" t="s">
        <v>1554</v>
      </c>
    </row>
    <row r="7" spans="2:13" ht="28.8" x14ac:dyDescent="0.3">
      <c r="B7" s="33" t="s">
        <v>1221</v>
      </c>
      <c r="C7" s="33" t="s">
        <v>1222</v>
      </c>
      <c r="K7" s="27" t="s">
        <v>1555</v>
      </c>
      <c r="L7" s="27" t="s">
        <v>1556</v>
      </c>
      <c r="M7" s="27" t="s">
        <v>1345</v>
      </c>
    </row>
    <row r="8" spans="2:13" ht="28.8" x14ac:dyDescent="0.3">
      <c r="B8" s="33" t="s">
        <v>1223</v>
      </c>
      <c r="C8" s="33" t="s">
        <v>1224</v>
      </c>
      <c r="K8" s="27" t="s">
        <v>1557</v>
      </c>
      <c r="L8" s="27" t="s">
        <v>1558</v>
      </c>
      <c r="M8" s="27" t="s">
        <v>1559</v>
      </c>
    </row>
    <row r="9" spans="2:13" ht="20.399999999999999" customHeight="1" x14ac:dyDescent="0.3">
      <c r="B9" s="33" t="s">
        <v>1225</v>
      </c>
      <c r="C9" s="33" t="s">
        <v>1226</v>
      </c>
      <c r="K9" s="27" t="s">
        <v>1560</v>
      </c>
      <c r="L9" s="27" t="s">
        <v>1561</v>
      </c>
      <c r="M9" s="27" t="s">
        <v>1562</v>
      </c>
    </row>
    <row r="10" spans="2:13" ht="24" customHeight="1" x14ac:dyDescent="0.3">
      <c r="B10" s="33" t="s">
        <v>1227</v>
      </c>
      <c r="C10" s="33" t="s">
        <v>1228</v>
      </c>
      <c r="K10" s="27" t="s">
        <v>1563</v>
      </c>
      <c r="L10" s="27"/>
      <c r="M10" s="27" t="s">
        <v>1564</v>
      </c>
    </row>
    <row r="11" spans="2:13" ht="57.6" x14ac:dyDescent="0.3">
      <c r="B11" s="33" t="s">
        <v>1229</v>
      </c>
      <c r="C11" s="33" t="s">
        <v>1230</v>
      </c>
    </row>
    <row r="12" spans="2:13" ht="57.6" x14ac:dyDescent="0.3">
      <c r="B12" s="33" t="s">
        <v>1231</v>
      </c>
      <c r="C12" s="33" t="s">
        <v>1232</v>
      </c>
    </row>
    <row r="13" spans="2:13" ht="43.2" x14ac:dyDescent="0.3">
      <c r="B13" s="33" t="s">
        <v>1098</v>
      </c>
      <c r="C13" s="33" t="s">
        <v>1233</v>
      </c>
    </row>
    <row r="14" spans="2:13" ht="57.6" x14ac:dyDescent="0.3">
      <c r="B14" s="33" t="s">
        <v>1101</v>
      </c>
      <c r="C14" s="33" t="s">
        <v>1234</v>
      </c>
    </row>
    <row r="15" spans="2:13" ht="43.2" x14ac:dyDescent="0.3">
      <c r="B15" s="33" t="s">
        <v>1235</v>
      </c>
      <c r="C15" s="33" t="s">
        <v>1236</v>
      </c>
    </row>
    <row r="18" spans="2:3" x14ac:dyDescent="0.3">
      <c r="B18" s="19" t="s">
        <v>1217</v>
      </c>
      <c r="C18" s="19" t="s">
        <v>1237</v>
      </c>
    </row>
    <row r="19" spans="2:3" x14ac:dyDescent="0.3">
      <c r="B19" t="s">
        <v>1219</v>
      </c>
      <c r="C19" s="1" t="s">
        <v>1238</v>
      </c>
    </row>
    <row r="20" spans="2:3" x14ac:dyDescent="0.3">
      <c r="B20" t="s">
        <v>1221</v>
      </c>
      <c r="C20" s="1" t="s">
        <v>1239</v>
      </c>
    </row>
    <row r="21" spans="2:3" ht="28.8" x14ac:dyDescent="0.3">
      <c r="B21" t="s">
        <v>1240</v>
      </c>
      <c r="C21" s="1" t="s">
        <v>1241</v>
      </c>
    </row>
    <row r="22" spans="2:3" ht="72" x14ac:dyDescent="0.3">
      <c r="B22" t="s">
        <v>1242</v>
      </c>
      <c r="C22" s="1" t="s">
        <v>1243</v>
      </c>
    </row>
    <row r="23" spans="2:3" x14ac:dyDescent="0.3">
      <c r="B23" t="s">
        <v>1225</v>
      </c>
      <c r="C23" s="1" t="s">
        <v>1244</v>
      </c>
    </row>
    <row r="24" spans="2:3" x14ac:dyDescent="0.3">
      <c r="B24" t="s">
        <v>1227</v>
      </c>
      <c r="C24" s="1" t="s">
        <v>1245</v>
      </c>
    </row>
    <row r="25" spans="2:3" x14ac:dyDescent="0.3">
      <c r="B25" t="s">
        <v>1229</v>
      </c>
      <c r="C25" s="1" t="s">
        <v>1230</v>
      </c>
    </row>
    <row r="26" spans="2:3" x14ac:dyDescent="0.3">
      <c r="B26" t="s">
        <v>1231</v>
      </c>
      <c r="C26" s="1" t="s">
        <v>1232</v>
      </c>
    </row>
    <row r="27" spans="2:3" ht="43.2" x14ac:dyDescent="0.3">
      <c r="B27" t="s">
        <v>1098</v>
      </c>
      <c r="C27" s="1" t="s">
        <v>1246</v>
      </c>
    </row>
    <row r="28" spans="2:3" ht="28.8" x14ac:dyDescent="0.3">
      <c r="B28" t="s">
        <v>1101</v>
      </c>
      <c r="C28" s="1" t="s">
        <v>1247</v>
      </c>
    </row>
    <row r="29" spans="2:3" x14ac:dyDescent="0.3">
      <c r="B29" t="s">
        <v>1235</v>
      </c>
      <c r="C29" s="1" t="s">
        <v>1236</v>
      </c>
    </row>
    <row r="30" spans="2:3" ht="43.2" x14ac:dyDescent="0.3">
      <c r="B30" t="s">
        <v>1248</v>
      </c>
      <c r="C30" s="1" t="s">
        <v>1249</v>
      </c>
    </row>
    <row r="31" spans="2:3" ht="57.6" x14ac:dyDescent="0.3">
      <c r="B31" t="s">
        <v>1250</v>
      </c>
      <c r="C31" s="1" t="s">
        <v>1251</v>
      </c>
    </row>
    <row r="34" spans="2:8" x14ac:dyDescent="0.3">
      <c r="B34" s="19" t="s">
        <v>245</v>
      </c>
      <c r="C34" s="19" t="s">
        <v>1252</v>
      </c>
      <c r="D34" s="19" t="s">
        <v>1253</v>
      </c>
      <c r="E34" s="19" t="s">
        <v>1254</v>
      </c>
      <c r="F34" s="19" t="s">
        <v>1255</v>
      </c>
      <c r="G34" s="19" t="s">
        <v>1256</v>
      </c>
    </row>
    <row r="35" spans="2:8" ht="187.2" x14ac:dyDescent="0.3">
      <c r="B35" s="26" t="s">
        <v>1276</v>
      </c>
      <c r="C35" s="27" t="s">
        <v>1257</v>
      </c>
      <c r="D35" s="27" t="s">
        <v>1258</v>
      </c>
      <c r="E35" s="27" t="s">
        <v>1259</v>
      </c>
      <c r="F35" s="27" t="s">
        <v>1260</v>
      </c>
      <c r="G35" s="1" t="s">
        <v>1261</v>
      </c>
    </row>
    <row r="36" spans="2:8" ht="172.8" x14ac:dyDescent="0.3">
      <c r="B36" s="26" t="s">
        <v>1277</v>
      </c>
      <c r="C36" s="27" t="s">
        <v>1262</v>
      </c>
      <c r="D36" s="27" t="s">
        <v>1263</v>
      </c>
      <c r="E36" s="27" t="s">
        <v>1259</v>
      </c>
      <c r="F36" s="27" t="s">
        <v>1264</v>
      </c>
      <c r="G36" s="1" t="s">
        <v>1265</v>
      </c>
    </row>
    <row r="37" spans="2:8" ht="187.2" x14ac:dyDescent="0.3">
      <c r="B37" s="26" t="s">
        <v>1278</v>
      </c>
      <c r="C37" s="27" t="s">
        <v>1266</v>
      </c>
      <c r="D37" s="27" t="s">
        <v>1267</v>
      </c>
      <c r="E37" s="27" t="s">
        <v>1259</v>
      </c>
      <c r="F37" s="27" t="s">
        <v>1260</v>
      </c>
      <c r="G37" s="1" t="s">
        <v>1268</v>
      </c>
    </row>
    <row r="38" spans="2:8" ht="158.4" x14ac:dyDescent="0.3">
      <c r="B38" s="26" t="s">
        <v>1279</v>
      </c>
      <c r="C38" s="27" t="s">
        <v>1269</v>
      </c>
      <c r="D38" s="27" t="s">
        <v>1270</v>
      </c>
      <c r="E38" s="27" t="s">
        <v>1271</v>
      </c>
      <c r="F38" s="27" t="s">
        <v>1264</v>
      </c>
      <c r="G38" s="1" t="s">
        <v>1272</v>
      </c>
    </row>
    <row r="39" spans="2:8" ht="158.4" x14ac:dyDescent="0.3">
      <c r="B39" s="26" t="s">
        <v>1280</v>
      </c>
      <c r="C39" s="27" t="s">
        <v>1273</v>
      </c>
      <c r="D39" s="27" t="s">
        <v>1274</v>
      </c>
      <c r="E39" s="27" t="s">
        <v>1271</v>
      </c>
      <c r="F39" s="27" t="s">
        <v>1260</v>
      </c>
      <c r="G39" s="1" t="s">
        <v>1275</v>
      </c>
    </row>
    <row r="43" spans="2:8" ht="28.8" x14ac:dyDescent="0.3">
      <c r="C43" s="28" t="s">
        <v>1022</v>
      </c>
      <c r="D43" s="28" t="s">
        <v>1281</v>
      </c>
      <c r="E43" s="28" t="s">
        <v>1282</v>
      </c>
      <c r="F43" s="28" t="s">
        <v>1283</v>
      </c>
      <c r="G43" s="28" t="s">
        <v>1284</v>
      </c>
      <c r="H43" s="28" t="s">
        <v>1285</v>
      </c>
    </row>
    <row r="44" spans="2:8" ht="28.8" x14ac:dyDescent="0.3">
      <c r="C44" s="27" t="s">
        <v>1286</v>
      </c>
      <c r="D44" s="27" t="s">
        <v>1287</v>
      </c>
      <c r="E44" s="27">
        <v>17</v>
      </c>
      <c r="F44" s="27" t="s">
        <v>1288</v>
      </c>
      <c r="G44" s="27" t="s">
        <v>1289</v>
      </c>
      <c r="H44" s="27" t="s">
        <v>1290</v>
      </c>
    </row>
    <row r="45" spans="2:8" ht="28.8" x14ac:dyDescent="0.3">
      <c r="C45" s="27" t="s">
        <v>1291</v>
      </c>
      <c r="D45" s="27" t="s">
        <v>1292</v>
      </c>
      <c r="E45" s="27">
        <v>17</v>
      </c>
      <c r="F45" s="27" t="s">
        <v>1293</v>
      </c>
      <c r="G45" s="27" t="s">
        <v>1294</v>
      </c>
      <c r="H45" s="27" t="s">
        <v>1295</v>
      </c>
    </row>
    <row r="46" spans="2:8" x14ac:dyDescent="0.3">
      <c r="C46" s="27" t="s">
        <v>1296</v>
      </c>
      <c r="D46" s="27"/>
      <c r="E46" s="27"/>
      <c r="F46" s="27" t="s">
        <v>1297</v>
      </c>
      <c r="G46" s="27"/>
      <c r="H46" s="27" t="s">
        <v>1298</v>
      </c>
    </row>
    <row r="47" spans="2:8" ht="28.8" x14ac:dyDescent="0.3">
      <c r="C47" s="27" t="s">
        <v>1299</v>
      </c>
      <c r="D47" s="27"/>
      <c r="E47" s="27"/>
      <c r="F47" s="27"/>
      <c r="G47" s="27"/>
      <c r="H47" s="27" t="s">
        <v>1300</v>
      </c>
    </row>
    <row r="48" spans="2:8" x14ac:dyDescent="0.3">
      <c r="C48" s="27" t="s">
        <v>1301</v>
      </c>
      <c r="D48" s="27"/>
      <c r="E48" s="27"/>
      <c r="F48" s="27"/>
      <c r="G48" s="27"/>
      <c r="H48" s="27" t="s">
        <v>1302</v>
      </c>
    </row>
    <row r="51" spans="3:6" ht="43.2" x14ac:dyDescent="0.3">
      <c r="C51" s="28" t="s">
        <v>1303</v>
      </c>
      <c r="D51" s="28" t="s">
        <v>1304</v>
      </c>
      <c r="E51" s="28" t="s">
        <v>1305</v>
      </c>
      <c r="F51" s="28" t="s">
        <v>1306</v>
      </c>
    </row>
    <row r="52" spans="3:6" ht="43.2" x14ac:dyDescent="0.3">
      <c r="C52" s="27" t="s">
        <v>1307</v>
      </c>
      <c r="D52" s="27" t="s">
        <v>1308</v>
      </c>
      <c r="E52" s="27" t="s">
        <v>1309</v>
      </c>
      <c r="F52" s="27" t="s">
        <v>1310</v>
      </c>
    </row>
    <row r="53" spans="3:6" x14ac:dyDescent="0.3">
      <c r="C53" s="27" t="s">
        <v>1311</v>
      </c>
      <c r="D53" s="27" t="s">
        <v>1312</v>
      </c>
      <c r="E53" s="27" t="s">
        <v>1313</v>
      </c>
      <c r="F53" s="27" t="s">
        <v>1314</v>
      </c>
    </row>
    <row r="54" spans="3:6" ht="72" x14ac:dyDescent="0.3">
      <c r="C54" s="27" t="s">
        <v>1311</v>
      </c>
      <c r="D54" s="27" t="s">
        <v>1315</v>
      </c>
      <c r="E54" s="27" t="s">
        <v>1316</v>
      </c>
      <c r="F54" s="27" t="s">
        <v>1317</v>
      </c>
    </row>
    <row r="55" spans="3:6" ht="28.8" x14ac:dyDescent="0.3">
      <c r="C55" s="27" t="s">
        <v>1318</v>
      </c>
      <c r="D55" s="27" t="s">
        <v>1319</v>
      </c>
      <c r="E55" s="27" t="s">
        <v>1320</v>
      </c>
      <c r="F55" s="27" t="s">
        <v>1321</v>
      </c>
    </row>
    <row r="56" spans="3:6" ht="43.2" x14ac:dyDescent="0.3">
      <c r="C56" s="27" t="s">
        <v>1322</v>
      </c>
      <c r="D56" s="27" t="s">
        <v>1323</v>
      </c>
      <c r="E56" s="27" t="s">
        <v>1324</v>
      </c>
      <c r="F56" s="27" t="s">
        <v>1325</v>
      </c>
    </row>
    <row r="57" spans="3:6" ht="57.6" x14ac:dyDescent="0.3">
      <c r="C57" s="27" t="s">
        <v>1326</v>
      </c>
      <c r="D57" s="27" t="s">
        <v>523</v>
      </c>
      <c r="E57" s="27" t="s">
        <v>1327</v>
      </c>
      <c r="F57" s="27" t="s">
        <v>1328</v>
      </c>
    </row>
    <row r="58" spans="3:6" ht="28.8" x14ac:dyDescent="0.3">
      <c r="C58" s="27" t="s">
        <v>1329</v>
      </c>
      <c r="D58" s="27" t="s">
        <v>1330</v>
      </c>
      <c r="E58" s="27" t="s">
        <v>646</v>
      </c>
      <c r="F58" s="27" t="s">
        <v>550</v>
      </c>
    </row>
    <row r="59" spans="3:6" ht="28.8" x14ac:dyDescent="0.3">
      <c r="C59" s="27" t="s">
        <v>1331</v>
      </c>
      <c r="D59" s="27" t="s">
        <v>1332</v>
      </c>
      <c r="E59" s="27" t="s">
        <v>646</v>
      </c>
      <c r="F59" s="27" t="s">
        <v>1333</v>
      </c>
    </row>
    <row r="60" spans="3:6" ht="28.8" x14ac:dyDescent="0.3">
      <c r="C60" s="27" t="s">
        <v>1334</v>
      </c>
      <c r="D60" s="27"/>
      <c r="E60" s="27"/>
      <c r="F60" s="27" t="s">
        <v>1335</v>
      </c>
    </row>
    <row r="65" spans="3:8" x14ac:dyDescent="0.3">
      <c r="C65" s="19" t="s">
        <v>1336</v>
      </c>
      <c r="D65" s="19" t="s">
        <v>1337</v>
      </c>
      <c r="E65" s="19" t="s">
        <v>1338</v>
      </c>
      <c r="F65" s="19" t="s">
        <v>1339</v>
      </c>
      <c r="G65" s="19" t="s">
        <v>1340</v>
      </c>
      <c r="H65" s="19" t="s">
        <v>1341</v>
      </c>
    </row>
    <row r="66" spans="3:8" ht="57.6" x14ac:dyDescent="0.3">
      <c r="C66" s="1" t="s">
        <v>1342</v>
      </c>
      <c r="D66" t="s">
        <v>1343</v>
      </c>
      <c r="E66" t="s">
        <v>1343</v>
      </c>
      <c r="F66" t="s">
        <v>1343</v>
      </c>
      <c r="G66" t="s">
        <v>1343</v>
      </c>
      <c r="H66" t="s">
        <v>1343</v>
      </c>
    </row>
    <row r="67" spans="3:8" x14ac:dyDescent="0.3">
      <c r="C67" t="s">
        <v>1344</v>
      </c>
      <c r="D67" t="s">
        <v>1345</v>
      </c>
      <c r="E67" t="s">
        <v>1345</v>
      </c>
      <c r="F67" t="s">
        <v>1346</v>
      </c>
      <c r="G67" t="s">
        <v>1346</v>
      </c>
      <c r="H67" t="s">
        <v>1347</v>
      </c>
    </row>
    <row r="68" spans="3:8" x14ac:dyDescent="0.3">
      <c r="C68" t="s">
        <v>1348</v>
      </c>
      <c r="D68" t="s">
        <v>1349</v>
      </c>
      <c r="E68" t="s">
        <v>1350</v>
      </c>
      <c r="F68" t="s">
        <v>1351</v>
      </c>
      <c r="G68" t="s">
        <v>1352</v>
      </c>
      <c r="H68" t="s">
        <v>1352</v>
      </c>
    </row>
    <row r="69" spans="3:8" x14ac:dyDescent="0.3">
      <c r="C69" t="s">
        <v>1353</v>
      </c>
      <c r="D69" t="s">
        <v>1354</v>
      </c>
      <c r="E69" t="s">
        <v>1349</v>
      </c>
      <c r="F69" t="s">
        <v>1349</v>
      </c>
      <c r="G69" t="s">
        <v>1349</v>
      </c>
      <c r="H69" t="s">
        <v>1349</v>
      </c>
    </row>
    <row r="70" spans="3:8" x14ac:dyDescent="0.3">
      <c r="C70" t="s">
        <v>1299</v>
      </c>
      <c r="D70" t="s">
        <v>1355</v>
      </c>
      <c r="E70" t="s">
        <v>1356</v>
      </c>
      <c r="F70" t="s">
        <v>1357</v>
      </c>
      <c r="G70" t="s">
        <v>1358</v>
      </c>
      <c r="H70" t="s">
        <v>1359</v>
      </c>
    </row>
    <row r="71" spans="3:8" x14ac:dyDescent="0.3">
      <c r="C71" t="s">
        <v>1360</v>
      </c>
      <c r="D71" t="s">
        <v>1361</v>
      </c>
      <c r="E71" t="s">
        <v>1362</v>
      </c>
      <c r="F71" t="s">
        <v>1363</v>
      </c>
      <c r="G71" t="s">
        <v>1364</v>
      </c>
      <c r="H71" t="s">
        <v>1365</v>
      </c>
    </row>
    <row r="72" spans="3:8" x14ac:dyDescent="0.3">
      <c r="C72" t="s">
        <v>1366</v>
      </c>
      <c r="D72" t="s">
        <v>1367</v>
      </c>
      <c r="E72" t="s">
        <v>1368</v>
      </c>
      <c r="F72" t="s">
        <v>1369</v>
      </c>
      <c r="G72" t="s">
        <v>1370</v>
      </c>
      <c r="H72" t="s">
        <v>1371</v>
      </c>
    </row>
    <row r="73" spans="3:8" x14ac:dyDescent="0.3">
      <c r="C73" t="s">
        <v>1372</v>
      </c>
      <c r="D73" t="s">
        <v>1361</v>
      </c>
      <c r="E73" t="s">
        <v>1373</v>
      </c>
      <c r="F73" t="s">
        <v>1374</v>
      </c>
      <c r="G73" t="s">
        <v>1375</v>
      </c>
      <c r="H73" t="s">
        <v>1376</v>
      </c>
    </row>
    <row r="77" spans="3:8" x14ac:dyDescent="0.3">
      <c r="C77" s="20" t="s">
        <v>1377</v>
      </c>
      <c r="D77" s="20" t="s">
        <v>1378</v>
      </c>
    </row>
    <row r="78" spans="3:8" ht="57.6" x14ac:dyDescent="0.3">
      <c r="C78" s="1" t="s">
        <v>1379</v>
      </c>
      <c r="D78" s="1" t="s">
        <v>1380</v>
      </c>
    </row>
    <row r="79" spans="3:8" ht="72" x14ac:dyDescent="0.3">
      <c r="C79" s="1" t="s">
        <v>1381</v>
      </c>
      <c r="D79" s="1" t="s">
        <v>1382</v>
      </c>
    </row>
    <row r="80" spans="3:8" ht="57.6" x14ac:dyDescent="0.3">
      <c r="C80" s="1" t="s">
        <v>1383</v>
      </c>
      <c r="D80" s="1" t="s">
        <v>1384</v>
      </c>
    </row>
    <row r="81" spans="3:7" ht="72" x14ac:dyDescent="0.3">
      <c r="C81" s="1" t="s">
        <v>1385</v>
      </c>
      <c r="D81" s="1" t="s">
        <v>1386</v>
      </c>
    </row>
    <row r="82" spans="3:7" ht="57.6" x14ac:dyDescent="0.3">
      <c r="C82" s="1" t="s">
        <v>1387</v>
      </c>
      <c r="D82" s="1" t="s">
        <v>1388</v>
      </c>
    </row>
    <row r="83" spans="3:7" ht="100.8" x14ac:dyDescent="0.3">
      <c r="C83" s="1" t="s">
        <v>1389</v>
      </c>
      <c r="D83" s="1" t="s">
        <v>1390</v>
      </c>
    </row>
    <row r="87" spans="3:7" x14ac:dyDescent="0.3">
      <c r="C87" s="20" t="s">
        <v>1391</v>
      </c>
      <c r="D87" s="19" t="s">
        <v>1392</v>
      </c>
      <c r="E87" s="19" t="s">
        <v>1393</v>
      </c>
      <c r="F87" s="19" t="s">
        <v>1394</v>
      </c>
      <c r="G87" s="19" t="s">
        <v>1395</v>
      </c>
    </row>
    <row r="88" spans="3:7" ht="28.8" x14ac:dyDescent="0.3">
      <c r="C88" s="27" t="s">
        <v>1396</v>
      </c>
      <c r="D88" t="s">
        <v>1397</v>
      </c>
      <c r="E88" s="41">
        <v>350</v>
      </c>
      <c r="F88" s="41">
        <v>800</v>
      </c>
      <c r="G88" t="s">
        <v>1398</v>
      </c>
    </row>
    <row r="89" spans="3:7" ht="28.8" x14ac:dyDescent="0.3">
      <c r="C89" s="27" t="s">
        <v>1399</v>
      </c>
      <c r="D89" t="s">
        <v>1400</v>
      </c>
      <c r="E89" t="s">
        <v>1401</v>
      </c>
      <c r="F89" t="s">
        <v>1402</v>
      </c>
      <c r="G89" t="s">
        <v>1403</v>
      </c>
    </row>
    <row r="90" spans="3:7" ht="28.8" x14ac:dyDescent="0.3">
      <c r="C90" s="27" t="s">
        <v>1404</v>
      </c>
      <c r="D90" t="s">
        <v>646</v>
      </c>
      <c r="E90" t="s">
        <v>1405</v>
      </c>
      <c r="F90" t="s">
        <v>1406</v>
      </c>
      <c r="G90" t="s">
        <v>1407</v>
      </c>
    </row>
    <row r="91" spans="3:7" x14ac:dyDescent="0.3">
      <c r="C91" s="27" t="s">
        <v>641</v>
      </c>
      <c r="D91">
        <v>1</v>
      </c>
      <c r="E91">
        <v>3</v>
      </c>
      <c r="F91">
        <v>5</v>
      </c>
      <c r="G91">
        <v>25</v>
      </c>
    </row>
    <row r="92" spans="3:7" ht="28.8" x14ac:dyDescent="0.3">
      <c r="C92" s="27" t="s">
        <v>645</v>
      </c>
      <c r="D92" t="s">
        <v>646</v>
      </c>
      <c r="E92" t="s">
        <v>1408</v>
      </c>
      <c r="F92" t="s">
        <v>1408</v>
      </c>
      <c r="G92" t="s">
        <v>1409</v>
      </c>
    </row>
    <row r="93" spans="3:7" ht="28.8" x14ac:dyDescent="0.3">
      <c r="C93" s="27" t="s">
        <v>649</v>
      </c>
      <c r="D93">
        <v>5</v>
      </c>
      <c r="E93">
        <v>25</v>
      </c>
      <c r="F93">
        <v>100</v>
      </c>
      <c r="G93">
        <v>500</v>
      </c>
    </row>
    <row r="94" spans="3:7" ht="28.8" x14ac:dyDescent="0.3">
      <c r="C94" s="27" t="s">
        <v>1410</v>
      </c>
      <c r="D94" t="s">
        <v>657</v>
      </c>
      <c r="E94" t="s">
        <v>654</v>
      </c>
      <c r="F94" t="s">
        <v>654</v>
      </c>
      <c r="G94" t="s">
        <v>654</v>
      </c>
    </row>
    <row r="95" spans="3:7" ht="28.8" x14ac:dyDescent="0.3">
      <c r="C95" s="27" t="s">
        <v>1411</v>
      </c>
      <c r="D95" t="s">
        <v>657</v>
      </c>
      <c r="E95" t="s">
        <v>657</v>
      </c>
      <c r="F95" t="s">
        <v>654</v>
      </c>
      <c r="G95" t="s">
        <v>654</v>
      </c>
    </row>
    <row r="96" spans="3:7" x14ac:dyDescent="0.3">
      <c r="C96" s="27" t="s">
        <v>1412</v>
      </c>
      <c r="D96" t="s">
        <v>657</v>
      </c>
      <c r="E96" t="s">
        <v>654</v>
      </c>
      <c r="F96" t="s">
        <v>654</v>
      </c>
      <c r="G96" t="s">
        <v>654</v>
      </c>
    </row>
    <row r="97" spans="3:7" ht="28.8" x14ac:dyDescent="0.3">
      <c r="C97" s="27" t="s">
        <v>1413</v>
      </c>
      <c r="D97" t="s">
        <v>657</v>
      </c>
      <c r="E97" t="s">
        <v>657</v>
      </c>
      <c r="F97" t="s">
        <v>654</v>
      </c>
      <c r="G97" t="s">
        <v>654</v>
      </c>
    </row>
    <row r="98" spans="3:7" ht="28.8" x14ac:dyDescent="0.3">
      <c r="C98" s="27" t="s">
        <v>1414</v>
      </c>
      <c r="D98" t="s">
        <v>657</v>
      </c>
      <c r="E98" t="s">
        <v>657</v>
      </c>
      <c r="F98" t="s">
        <v>654</v>
      </c>
      <c r="G98" t="s">
        <v>654</v>
      </c>
    </row>
    <row r="99" spans="3:7" ht="28.8" x14ac:dyDescent="0.3">
      <c r="C99" s="27" t="s">
        <v>1415</v>
      </c>
      <c r="D99" t="s">
        <v>657</v>
      </c>
      <c r="E99" t="s">
        <v>657</v>
      </c>
      <c r="F99" t="s">
        <v>654</v>
      </c>
      <c r="G99" t="s">
        <v>654</v>
      </c>
    </row>
    <row r="100" spans="3:7" ht="28.8" x14ac:dyDescent="0.3">
      <c r="C100" s="27" t="s">
        <v>1416</v>
      </c>
      <c r="D100" t="s">
        <v>657</v>
      </c>
      <c r="E100" t="s">
        <v>657</v>
      </c>
      <c r="F100" t="s">
        <v>654</v>
      </c>
      <c r="G100" t="s">
        <v>654</v>
      </c>
    </row>
    <row r="101" spans="3:7" ht="28.8" x14ac:dyDescent="0.3">
      <c r="C101" s="27" t="s">
        <v>1417</v>
      </c>
      <c r="D101" t="s">
        <v>657</v>
      </c>
      <c r="E101" t="s">
        <v>657</v>
      </c>
      <c r="F101" t="s">
        <v>657</v>
      </c>
      <c r="G101" t="s">
        <v>654</v>
      </c>
    </row>
    <row r="102" spans="3:7" ht="28.8" x14ac:dyDescent="0.3">
      <c r="C102" s="27" t="s">
        <v>1418</v>
      </c>
      <c r="D102" t="s">
        <v>657</v>
      </c>
      <c r="E102" t="s">
        <v>657</v>
      </c>
      <c r="F102" t="s">
        <v>657</v>
      </c>
      <c r="G102" t="s">
        <v>654</v>
      </c>
    </row>
    <row r="103" spans="3:7" ht="28.8" x14ac:dyDescent="0.3">
      <c r="C103" s="27" t="s">
        <v>1419</v>
      </c>
      <c r="D103" t="s">
        <v>657</v>
      </c>
      <c r="E103" t="s">
        <v>657</v>
      </c>
      <c r="F103" t="s">
        <v>657</v>
      </c>
      <c r="G103" t="s">
        <v>654</v>
      </c>
    </row>
    <row r="104" spans="3:7" ht="43.2" x14ac:dyDescent="0.3">
      <c r="C104" s="27" t="s">
        <v>1420</v>
      </c>
      <c r="D104" t="s">
        <v>657</v>
      </c>
      <c r="E104" t="s">
        <v>657</v>
      </c>
      <c r="F104" t="s">
        <v>1113</v>
      </c>
      <c r="G104" t="s">
        <v>654</v>
      </c>
    </row>
    <row r="105" spans="3:7" x14ac:dyDescent="0.3">
      <c r="C105" s="27" t="s">
        <v>661</v>
      </c>
      <c r="D105" t="s">
        <v>657</v>
      </c>
      <c r="E105" t="s">
        <v>662</v>
      </c>
      <c r="F105" t="s">
        <v>663</v>
      </c>
      <c r="G105" t="s">
        <v>663</v>
      </c>
    </row>
    <row r="106" spans="3:7" x14ac:dyDescent="0.3">
      <c r="C106" s="27" t="s">
        <v>671</v>
      </c>
      <c r="D106" t="s">
        <v>646</v>
      </c>
      <c r="E106" t="s">
        <v>1421</v>
      </c>
      <c r="F106" t="s">
        <v>1422</v>
      </c>
      <c r="G106" t="s">
        <v>1423</v>
      </c>
    </row>
    <row r="110" spans="3:7" x14ac:dyDescent="0.3">
      <c r="C110" t="s">
        <v>1424</v>
      </c>
      <c r="D110" t="s">
        <v>1425</v>
      </c>
      <c r="E110" t="s">
        <v>1426</v>
      </c>
    </row>
    <row r="111" spans="3:7" x14ac:dyDescent="0.3">
      <c r="C111" t="s">
        <v>1427</v>
      </c>
      <c r="D111" t="s">
        <v>1428</v>
      </c>
      <c r="E111" t="s">
        <v>1429</v>
      </c>
    </row>
    <row r="112" spans="3:7" x14ac:dyDescent="0.3">
      <c r="C112" t="s">
        <v>1430</v>
      </c>
      <c r="D112" t="s">
        <v>1431</v>
      </c>
      <c r="E112" t="s">
        <v>1432</v>
      </c>
    </row>
    <row r="113" spans="3:6" x14ac:dyDescent="0.3">
      <c r="C113" t="s">
        <v>1433</v>
      </c>
      <c r="D113" t="s">
        <v>1434</v>
      </c>
      <c r="E113" t="s">
        <v>1435</v>
      </c>
    </row>
    <row r="116" spans="3:6" x14ac:dyDescent="0.3">
      <c r="C116" s="19" t="s">
        <v>1436</v>
      </c>
      <c r="D116" s="19" t="s">
        <v>1437</v>
      </c>
      <c r="E116" s="19" t="s">
        <v>1438</v>
      </c>
      <c r="F116" s="19" t="s">
        <v>1439</v>
      </c>
    </row>
    <row r="117" spans="3:6" x14ac:dyDescent="0.3">
      <c r="C117" t="s">
        <v>1440</v>
      </c>
      <c r="D117" t="s">
        <v>1401</v>
      </c>
      <c r="E117">
        <v>1</v>
      </c>
      <c r="F117" t="s">
        <v>1401</v>
      </c>
    </row>
    <row r="118" spans="3:6" x14ac:dyDescent="0.3">
      <c r="C118" t="s">
        <v>1441</v>
      </c>
      <c r="D118" t="s">
        <v>1402</v>
      </c>
      <c r="E118">
        <v>2</v>
      </c>
      <c r="F118" t="s">
        <v>1403</v>
      </c>
    </row>
    <row r="119" spans="3:6" x14ac:dyDescent="0.3">
      <c r="C119" t="s">
        <v>1442</v>
      </c>
      <c r="D119" t="s">
        <v>1403</v>
      </c>
      <c r="E119">
        <v>1</v>
      </c>
      <c r="F119" t="s">
        <v>1403</v>
      </c>
    </row>
    <row r="120" spans="3:6" x14ac:dyDescent="0.3">
      <c r="C120" t="s">
        <v>1443</v>
      </c>
      <c r="E120">
        <v>4</v>
      </c>
      <c r="F120" t="s">
        <v>1444</v>
      </c>
    </row>
    <row r="124" spans="3:6" x14ac:dyDescent="0.3">
      <c r="C124" s="19" t="s">
        <v>1445</v>
      </c>
      <c r="D124" s="19" t="s">
        <v>1337</v>
      </c>
    </row>
    <row r="125" spans="3:6" x14ac:dyDescent="0.3">
      <c r="C125" t="s">
        <v>1446</v>
      </c>
      <c r="D125" t="s">
        <v>1447</v>
      </c>
    </row>
    <row r="126" spans="3:6" x14ac:dyDescent="0.3">
      <c r="C126" t="s">
        <v>1448</v>
      </c>
      <c r="D126" t="s">
        <v>1449</v>
      </c>
    </row>
    <row r="127" spans="3:6" x14ac:dyDescent="0.3">
      <c r="C127" t="s">
        <v>1450</v>
      </c>
      <c r="D127" t="s">
        <v>1451</v>
      </c>
    </row>
    <row r="129" spans="3:8" ht="16.2" thickBot="1" x14ac:dyDescent="0.35">
      <c r="C129" s="52" t="s">
        <v>1452</v>
      </c>
      <c r="D129" s="52" t="s">
        <v>1337</v>
      </c>
      <c r="E129" s="52" t="s">
        <v>1338</v>
      </c>
      <c r="F129" s="52" t="s">
        <v>1339</v>
      </c>
      <c r="G129" s="52" t="s">
        <v>1340</v>
      </c>
      <c r="H129" s="53" t="s">
        <v>1341</v>
      </c>
    </row>
    <row r="130" spans="3:8" ht="31.8" thickBot="1" x14ac:dyDescent="0.35">
      <c r="C130" s="42" t="s">
        <v>1453</v>
      </c>
      <c r="D130" s="45">
        <v>3</v>
      </c>
      <c r="E130" s="45">
        <v>6</v>
      </c>
      <c r="F130" s="45">
        <v>10</v>
      </c>
      <c r="G130" s="45">
        <v>16</v>
      </c>
      <c r="H130" s="46">
        <v>20</v>
      </c>
    </row>
    <row r="131" spans="3:8" ht="47.4" thickBot="1" x14ac:dyDescent="0.35">
      <c r="C131" s="42" t="s">
        <v>1454</v>
      </c>
      <c r="D131" s="45">
        <v>3</v>
      </c>
      <c r="E131" s="45">
        <v>8</v>
      </c>
      <c r="F131" s="45">
        <v>15</v>
      </c>
      <c r="G131" s="45">
        <v>20</v>
      </c>
      <c r="H131" s="46">
        <v>28</v>
      </c>
    </row>
    <row r="132" spans="3:8" ht="47.4" thickBot="1" x14ac:dyDescent="0.35">
      <c r="C132" s="42" t="s">
        <v>1455</v>
      </c>
      <c r="D132" s="45">
        <v>1</v>
      </c>
      <c r="E132" s="45">
        <v>3</v>
      </c>
      <c r="F132" s="45">
        <v>5</v>
      </c>
      <c r="G132" s="45">
        <v>8</v>
      </c>
      <c r="H132" s="46">
        <v>10</v>
      </c>
    </row>
    <row r="133" spans="3:8" ht="16.2" thickBot="1" x14ac:dyDescent="0.35">
      <c r="C133" s="43" t="s">
        <v>1456</v>
      </c>
      <c r="D133" s="47">
        <v>7</v>
      </c>
      <c r="E133" s="47">
        <v>17</v>
      </c>
      <c r="F133" s="47">
        <v>30</v>
      </c>
      <c r="G133" s="47">
        <v>44</v>
      </c>
      <c r="H133" s="48">
        <v>58</v>
      </c>
    </row>
    <row r="134" spans="3:8" ht="31.8" thickBot="1" x14ac:dyDescent="0.35">
      <c r="C134" s="43" t="s">
        <v>1457</v>
      </c>
      <c r="D134" s="47" t="s">
        <v>1458</v>
      </c>
      <c r="E134" s="47" t="s">
        <v>1459</v>
      </c>
      <c r="F134" s="47" t="s">
        <v>1460</v>
      </c>
      <c r="G134" s="47" t="s">
        <v>1461</v>
      </c>
      <c r="H134" s="48" t="s">
        <v>1462</v>
      </c>
    </row>
    <row r="135" spans="3:8" ht="31.8" thickBot="1" x14ac:dyDescent="0.35">
      <c r="C135" s="43" t="s">
        <v>1463</v>
      </c>
      <c r="D135" s="47" t="s">
        <v>1464</v>
      </c>
      <c r="E135" s="47" t="s">
        <v>1465</v>
      </c>
      <c r="F135" s="47" t="s">
        <v>1466</v>
      </c>
      <c r="G135" s="47" t="s">
        <v>1467</v>
      </c>
      <c r="H135" s="48" t="s">
        <v>1468</v>
      </c>
    </row>
    <row r="136" spans="3:8" ht="31.8" thickBot="1" x14ac:dyDescent="0.35">
      <c r="C136" s="42" t="s">
        <v>1448</v>
      </c>
      <c r="D136" s="45" t="s">
        <v>1469</v>
      </c>
      <c r="E136" s="45" t="s">
        <v>1470</v>
      </c>
      <c r="F136" s="45" t="s">
        <v>1471</v>
      </c>
      <c r="G136" s="45" t="s">
        <v>1472</v>
      </c>
      <c r="H136" s="46" t="s">
        <v>1473</v>
      </c>
    </row>
    <row r="137" spans="3:8" ht="31.8" thickBot="1" x14ac:dyDescent="0.35">
      <c r="C137" s="43" t="s">
        <v>1474</v>
      </c>
      <c r="D137" s="47" t="s">
        <v>1475</v>
      </c>
      <c r="E137" s="47" t="s">
        <v>1476</v>
      </c>
      <c r="F137" s="47" t="s">
        <v>1477</v>
      </c>
      <c r="G137" s="47" t="s">
        <v>1478</v>
      </c>
      <c r="H137" s="48" t="s">
        <v>1479</v>
      </c>
    </row>
    <row r="138" spans="3:8" ht="31.8" thickBot="1" x14ac:dyDescent="0.35">
      <c r="C138" s="42" t="s">
        <v>1480</v>
      </c>
      <c r="D138" s="45" t="s">
        <v>1481</v>
      </c>
      <c r="E138" s="45" t="s">
        <v>1481</v>
      </c>
      <c r="F138" s="45" t="s">
        <v>1481</v>
      </c>
      <c r="G138" s="45" t="s">
        <v>1400</v>
      </c>
      <c r="H138" s="46" t="s">
        <v>1400</v>
      </c>
    </row>
    <row r="139" spans="3:8" ht="31.8" thickBot="1" x14ac:dyDescent="0.35">
      <c r="C139" s="43" t="s">
        <v>1482</v>
      </c>
      <c r="D139" s="47" t="s">
        <v>1483</v>
      </c>
      <c r="E139" s="47" t="s">
        <v>1484</v>
      </c>
      <c r="F139" s="47" t="s">
        <v>1485</v>
      </c>
      <c r="G139" s="47" t="s">
        <v>1478</v>
      </c>
      <c r="H139" s="48" t="s">
        <v>1479</v>
      </c>
    </row>
    <row r="140" spans="3:8" ht="31.2" x14ac:dyDescent="0.3">
      <c r="C140" s="44" t="s">
        <v>1486</v>
      </c>
      <c r="D140" s="49" t="s">
        <v>1483</v>
      </c>
      <c r="E140" s="50" t="s">
        <v>1487</v>
      </c>
      <c r="F140" s="50" t="s">
        <v>1488</v>
      </c>
      <c r="G140" s="50" t="s">
        <v>1489</v>
      </c>
      <c r="H140" s="51" t="s">
        <v>1490</v>
      </c>
    </row>
    <row r="145" spans="3:8" x14ac:dyDescent="0.3">
      <c r="C145" s="19" t="s">
        <v>1303</v>
      </c>
      <c r="D145" s="19" t="s">
        <v>1304</v>
      </c>
      <c r="E145" s="19" t="s">
        <v>1305</v>
      </c>
      <c r="F145" s="19" t="s">
        <v>1491</v>
      </c>
      <c r="G145" s="19" t="s">
        <v>1492</v>
      </c>
    </row>
    <row r="146" spans="3:8" x14ac:dyDescent="0.3">
      <c r="C146" t="s">
        <v>1307</v>
      </c>
      <c r="D146" t="s">
        <v>1493</v>
      </c>
      <c r="E146" t="s">
        <v>1494</v>
      </c>
      <c r="F146" t="s">
        <v>1495</v>
      </c>
      <c r="G146" t="s">
        <v>1496</v>
      </c>
    </row>
    <row r="147" spans="3:8" x14ac:dyDescent="0.3">
      <c r="C147" t="s">
        <v>1497</v>
      </c>
      <c r="D147" t="s">
        <v>1498</v>
      </c>
      <c r="E147" t="s">
        <v>646</v>
      </c>
      <c r="F147" t="s">
        <v>1499</v>
      </c>
      <c r="G147" t="s">
        <v>1500</v>
      </c>
    </row>
    <row r="148" spans="3:8" x14ac:dyDescent="0.3">
      <c r="C148" t="s">
        <v>1501</v>
      </c>
      <c r="D148" t="s">
        <v>1502</v>
      </c>
      <c r="E148" t="s">
        <v>1503</v>
      </c>
      <c r="F148" t="s">
        <v>1504</v>
      </c>
      <c r="G148" t="s">
        <v>1505</v>
      </c>
    </row>
    <row r="149" spans="3:8" x14ac:dyDescent="0.3">
      <c r="C149" t="s">
        <v>1318</v>
      </c>
      <c r="D149" t="s">
        <v>1506</v>
      </c>
      <c r="E149" t="s">
        <v>1507</v>
      </c>
      <c r="F149" t="s">
        <v>1508</v>
      </c>
      <c r="G149" t="s">
        <v>1509</v>
      </c>
    </row>
    <row r="150" spans="3:8" x14ac:dyDescent="0.3">
      <c r="C150" t="s">
        <v>1322</v>
      </c>
      <c r="D150" t="s">
        <v>1510</v>
      </c>
      <c r="E150" t="s">
        <v>1511</v>
      </c>
      <c r="F150" t="s">
        <v>1512</v>
      </c>
      <c r="G150" t="s">
        <v>1513</v>
      </c>
    </row>
    <row r="151" spans="3:8" x14ac:dyDescent="0.3">
      <c r="C151" t="s">
        <v>1326</v>
      </c>
      <c r="D151" t="s">
        <v>1514</v>
      </c>
      <c r="E151" t="s">
        <v>1515</v>
      </c>
      <c r="F151" t="s">
        <v>1516</v>
      </c>
      <c r="G151" t="s">
        <v>1517</v>
      </c>
    </row>
    <row r="152" spans="3:8" x14ac:dyDescent="0.3">
      <c r="C152" t="s">
        <v>1518</v>
      </c>
      <c r="D152" t="s">
        <v>1519</v>
      </c>
      <c r="E152" t="s">
        <v>646</v>
      </c>
      <c r="F152" t="s">
        <v>1520</v>
      </c>
      <c r="G152" t="s">
        <v>1521</v>
      </c>
    </row>
    <row r="153" spans="3:8" x14ac:dyDescent="0.3">
      <c r="C153" t="s">
        <v>1331</v>
      </c>
      <c r="D153" t="s">
        <v>1522</v>
      </c>
      <c r="E153" t="s">
        <v>646</v>
      </c>
      <c r="F153" t="s">
        <v>1499</v>
      </c>
      <c r="G153" t="s">
        <v>1521</v>
      </c>
    </row>
    <row r="154" spans="3:8" x14ac:dyDescent="0.3">
      <c r="C154" t="s">
        <v>1523</v>
      </c>
      <c r="D154" t="s">
        <v>1524</v>
      </c>
      <c r="E154" t="s">
        <v>646</v>
      </c>
      <c r="F154" t="s">
        <v>1525</v>
      </c>
      <c r="G154" t="s">
        <v>1526</v>
      </c>
    </row>
    <row r="155" spans="3:8" x14ac:dyDescent="0.3">
      <c r="C155" t="s">
        <v>1527</v>
      </c>
      <c r="D155" t="s">
        <v>1528</v>
      </c>
      <c r="E155" t="s">
        <v>1529</v>
      </c>
      <c r="F155" t="s">
        <v>1520</v>
      </c>
      <c r="G155" t="s">
        <v>1530</v>
      </c>
    </row>
    <row r="156" spans="3:8" x14ac:dyDescent="0.3">
      <c r="C156" t="s">
        <v>1531</v>
      </c>
      <c r="F156" t="s">
        <v>1532</v>
      </c>
      <c r="G156" t="s">
        <v>1533</v>
      </c>
    </row>
    <row r="160" spans="3:8" ht="43.2" x14ac:dyDescent="0.3">
      <c r="C160" s="28" t="s">
        <v>592</v>
      </c>
      <c r="D160" s="28" t="s">
        <v>1491</v>
      </c>
      <c r="E160" s="28" t="s">
        <v>1534</v>
      </c>
      <c r="F160" s="28" t="s">
        <v>1535</v>
      </c>
      <c r="G160" s="28" t="s">
        <v>649</v>
      </c>
      <c r="H160" s="28" t="s">
        <v>1536</v>
      </c>
    </row>
    <row r="161" spans="3:8" x14ac:dyDescent="0.3">
      <c r="C161" s="27" t="s">
        <v>1537</v>
      </c>
      <c r="D161" s="27" t="s">
        <v>1538</v>
      </c>
      <c r="E161" s="27" t="s">
        <v>1539</v>
      </c>
      <c r="F161" s="27" t="s">
        <v>1540</v>
      </c>
      <c r="G161" s="27" t="s">
        <v>1541</v>
      </c>
      <c r="H161" s="27" t="s">
        <v>1547</v>
      </c>
    </row>
    <row r="162" spans="3:8" x14ac:dyDescent="0.3">
      <c r="C162" s="27" t="s">
        <v>1542</v>
      </c>
      <c r="D162" s="27" t="s">
        <v>1543</v>
      </c>
      <c r="E162" s="27" t="s">
        <v>1544</v>
      </c>
      <c r="F162" s="27" t="s">
        <v>1545</v>
      </c>
      <c r="G162" s="27" t="s">
        <v>1546</v>
      </c>
      <c r="H162" s="27" t="s">
        <v>1548</v>
      </c>
    </row>
  </sheetData>
  <phoneticPr fontId="4" type="noConversion"/>
  <pageMargins left="0.7" right="0.7" top="0.75" bottom="0.75" header="0.3" footer="0.3"/>
  <tableParts count="15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2632E-A7AF-4F0F-94E0-AC056960B122}">
  <dimension ref="B3:H91"/>
  <sheetViews>
    <sheetView topLeftCell="A59" workbookViewId="0">
      <selection activeCell="B65" sqref="B65:H70"/>
    </sheetView>
  </sheetViews>
  <sheetFormatPr baseColWidth="10" defaultRowHeight="14.4" x14ac:dyDescent="0.3"/>
  <cols>
    <col min="2" max="2" width="29.6640625" customWidth="1"/>
    <col min="3" max="3" width="12.109375" customWidth="1"/>
    <col min="4" max="4" width="11" customWidth="1"/>
    <col min="5" max="5" width="8.6640625" customWidth="1"/>
    <col min="6" max="6" width="8.88671875" customWidth="1"/>
  </cols>
  <sheetData>
    <row r="3" spans="2:6" ht="28.8" x14ac:dyDescent="0.3">
      <c r="B3" s="28" t="s">
        <v>1445</v>
      </c>
      <c r="C3" s="28" t="s">
        <v>1436</v>
      </c>
      <c r="D3" s="28" t="s">
        <v>1565</v>
      </c>
      <c r="E3" s="28" t="s">
        <v>1550</v>
      </c>
      <c r="F3" s="28" t="s">
        <v>1551</v>
      </c>
    </row>
    <row r="4" spans="2:6" ht="115.2" x14ac:dyDescent="0.3">
      <c r="B4" s="27" t="s">
        <v>1566</v>
      </c>
      <c r="C4" s="27" t="s">
        <v>1567</v>
      </c>
      <c r="D4" s="27" t="s">
        <v>1568</v>
      </c>
      <c r="E4" s="27" t="s">
        <v>1569</v>
      </c>
      <c r="F4" s="27" t="s">
        <v>1570</v>
      </c>
    </row>
    <row r="5" spans="2:6" ht="100.8" x14ac:dyDescent="0.3">
      <c r="B5" s="27" t="s">
        <v>1571</v>
      </c>
      <c r="C5" s="27" t="s">
        <v>1572</v>
      </c>
      <c r="D5" s="27" t="s">
        <v>1568</v>
      </c>
      <c r="E5" s="27" t="s">
        <v>1573</v>
      </c>
      <c r="F5" s="27" t="s">
        <v>1574</v>
      </c>
    </row>
    <row r="6" spans="2:6" ht="115.2" x14ac:dyDescent="0.3">
      <c r="B6" s="27" t="s">
        <v>1575</v>
      </c>
      <c r="C6" s="27" t="s">
        <v>1576</v>
      </c>
      <c r="D6" s="27" t="s">
        <v>1568</v>
      </c>
      <c r="E6" s="27" t="s">
        <v>1559</v>
      </c>
      <c r="F6" s="27" t="s">
        <v>1577</v>
      </c>
    </row>
    <row r="7" spans="2:6" ht="100.8" x14ac:dyDescent="0.3">
      <c r="B7" s="27" t="s">
        <v>1578</v>
      </c>
      <c r="C7" s="27" t="s">
        <v>1579</v>
      </c>
      <c r="D7" s="27" t="s">
        <v>1580</v>
      </c>
      <c r="E7" s="27" t="s">
        <v>1294</v>
      </c>
      <c r="F7" s="27" t="s">
        <v>1581</v>
      </c>
    </row>
    <row r="8" spans="2:6" x14ac:dyDescent="0.3">
      <c r="B8" s="27" t="s">
        <v>1582</v>
      </c>
      <c r="C8" s="27"/>
      <c r="D8" s="27"/>
      <c r="E8" s="27" t="s">
        <v>1583</v>
      </c>
      <c r="F8" s="27"/>
    </row>
    <row r="12" spans="2:6" x14ac:dyDescent="0.3">
      <c r="B12" s="19" t="s">
        <v>1584</v>
      </c>
      <c r="C12" s="19" t="s">
        <v>1550</v>
      </c>
    </row>
    <row r="13" spans="2:6" x14ac:dyDescent="0.3">
      <c r="B13" t="s">
        <v>1590</v>
      </c>
      <c r="C13" s="54" t="s">
        <v>1302</v>
      </c>
    </row>
    <row r="14" spans="2:6" x14ac:dyDescent="0.3">
      <c r="B14" t="s">
        <v>1585</v>
      </c>
      <c r="C14" s="54" t="s">
        <v>1583</v>
      </c>
    </row>
    <row r="15" spans="2:6" x14ac:dyDescent="0.3">
      <c r="B15" t="s">
        <v>1586</v>
      </c>
      <c r="C15" s="54" t="s">
        <v>1559</v>
      </c>
    </row>
    <row r="16" spans="2:6" x14ac:dyDescent="0.3">
      <c r="B16" t="s">
        <v>1587</v>
      </c>
      <c r="C16" s="54" t="s">
        <v>1564</v>
      </c>
    </row>
    <row r="17" spans="2:6" x14ac:dyDescent="0.3">
      <c r="B17" t="s">
        <v>1588</v>
      </c>
      <c r="C17" s="54" t="s">
        <v>1589</v>
      </c>
    </row>
    <row r="21" spans="2:6" x14ac:dyDescent="0.3">
      <c r="B21" s="19" t="s">
        <v>1445</v>
      </c>
      <c r="C21" s="19" t="s">
        <v>1591</v>
      </c>
      <c r="D21" s="19" t="s">
        <v>1565</v>
      </c>
      <c r="E21" s="19" t="s">
        <v>1550</v>
      </c>
    </row>
    <row r="22" spans="2:6" x14ac:dyDescent="0.3">
      <c r="B22" t="s">
        <v>1592</v>
      </c>
      <c r="C22" t="s">
        <v>1593</v>
      </c>
      <c r="D22" t="s">
        <v>1568</v>
      </c>
      <c r="E22" t="s">
        <v>1594</v>
      </c>
    </row>
    <row r="23" spans="2:6" x14ac:dyDescent="0.3">
      <c r="B23" t="s">
        <v>1595</v>
      </c>
      <c r="C23" t="s">
        <v>1596</v>
      </c>
      <c r="D23" t="s">
        <v>1568</v>
      </c>
      <c r="E23" t="s">
        <v>1597</v>
      </c>
    </row>
    <row r="24" spans="2:6" x14ac:dyDescent="0.3">
      <c r="B24" t="s">
        <v>1598</v>
      </c>
      <c r="C24" t="s">
        <v>1599</v>
      </c>
      <c r="D24" t="s">
        <v>646</v>
      </c>
      <c r="E24" t="s">
        <v>1400</v>
      </c>
    </row>
    <row r="25" spans="2:6" x14ac:dyDescent="0.3">
      <c r="B25" t="s">
        <v>1600</v>
      </c>
      <c r="E25" t="s">
        <v>1559</v>
      </c>
    </row>
    <row r="29" spans="2:6" x14ac:dyDescent="0.3">
      <c r="B29" t="s">
        <v>1303</v>
      </c>
      <c r="C29" t="s">
        <v>1304</v>
      </c>
      <c r="D29" t="s">
        <v>1305</v>
      </c>
      <c r="E29" t="s">
        <v>1491</v>
      </c>
      <c r="F29" t="s">
        <v>1492</v>
      </c>
    </row>
    <row r="30" spans="2:6" x14ac:dyDescent="0.3">
      <c r="B30" t="s">
        <v>1307</v>
      </c>
      <c r="C30" t="s">
        <v>1493</v>
      </c>
      <c r="D30" t="s">
        <v>1494</v>
      </c>
      <c r="E30" t="s">
        <v>1495</v>
      </c>
      <c r="F30" t="s">
        <v>1496</v>
      </c>
    </row>
    <row r="31" spans="2:6" x14ac:dyDescent="0.3">
      <c r="B31" t="s">
        <v>1497</v>
      </c>
      <c r="C31" t="s">
        <v>1498</v>
      </c>
      <c r="D31" t="s">
        <v>646</v>
      </c>
      <c r="E31" t="s">
        <v>1499</v>
      </c>
      <c r="F31" t="s">
        <v>1500</v>
      </c>
    </row>
    <row r="32" spans="2:6" x14ac:dyDescent="0.3">
      <c r="B32" t="s">
        <v>1501</v>
      </c>
      <c r="C32" t="s">
        <v>1502</v>
      </c>
      <c r="D32" t="s">
        <v>1503</v>
      </c>
      <c r="E32" t="s">
        <v>1504</v>
      </c>
      <c r="F32" t="s">
        <v>1505</v>
      </c>
    </row>
    <row r="33" spans="2:6" x14ac:dyDescent="0.3">
      <c r="B33" t="s">
        <v>1318</v>
      </c>
      <c r="C33" t="s">
        <v>1506</v>
      </c>
      <c r="D33" t="s">
        <v>1507</v>
      </c>
      <c r="E33" t="s">
        <v>1508</v>
      </c>
      <c r="F33" t="s">
        <v>1509</v>
      </c>
    </row>
    <row r="34" spans="2:6" x14ac:dyDescent="0.3">
      <c r="B34" t="s">
        <v>1322</v>
      </c>
      <c r="C34" t="s">
        <v>1510</v>
      </c>
      <c r="D34" t="s">
        <v>1511</v>
      </c>
      <c r="E34" t="s">
        <v>1512</v>
      </c>
      <c r="F34" t="s">
        <v>1513</v>
      </c>
    </row>
    <row r="35" spans="2:6" x14ac:dyDescent="0.3">
      <c r="B35" t="s">
        <v>1326</v>
      </c>
      <c r="C35" t="s">
        <v>1514</v>
      </c>
      <c r="D35" t="s">
        <v>1515</v>
      </c>
      <c r="E35" t="s">
        <v>1516</v>
      </c>
      <c r="F35" t="s">
        <v>1517</v>
      </c>
    </row>
    <row r="36" spans="2:6" x14ac:dyDescent="0.3">
      <c r="B36" t="s">
        <v>1518</v>
      </c>
      <c r="C36" t="s">
        <v>1519</v>
      </c>
      <c r="D36" t="s">
        <v>646</v>
      </c>
      <c r="E36" t="s">
        <v>1520</v>
      </c>
      <c r="F36" t="s">
        <v>1521</v>
      </c>
    </row>
    <row r="37" spans="2:6" x14ac:dyDescent="0.3">
      <c r="B37" t="s">
        <v>1331</v>
      </c>
      <c r="C37" t="s">
        <v>1522</v>
      </c>
      <c r="D37" t="s">
        <v>646</v>
      </c>
      <c r="E37" t="s">
        <v>1499</v>
      </c>
      <c r="F37" t="s">
        <v>1521</v>
      </c>
    </row>
    <row r="38" spans="2:6" x14ac:dyDescent="0.3">
      <c r="B38" t="s">
        <v>1523</v>
      </c>
      <c r="C38" t="s">
        <v>1524</v>
      </c>
      <c r="D38" t="s">
        <v>646</v>
      </c>
      <c r="E38" t="s">
        <v>1525</v>
      </c>
      <c r="F38" t="s">
        <v>1526</v>
      </c>
    </row>
    <row r="39" spans="2:6" x14ac:dyDescent="0.3">
      <c r="B39" t="s">
        <v>1527</v>
      </c>
      <c r="C39" t="s">
        <v>1528</v>
      </c>
      <c r="D39" t="s">
        <v>1529</v>
      </c>
      <c r="E39" t="s">
        <v>1520</v>
      </c>
      <c r="F39" t="s">
        <v>1530</v>
      </c>
    </row>
    <row r="40" spans="2:6" x14ac:dyDescent="0.3">
      <c r="B40" t="s">
        <v>1531</v>
      </c>
      <c r="E40" t="s">
        <v>1532</v>
      </c>
      <c r="F40" t="s">
        <v>1533</v>
      </c>
    </row>
    <row r="44" spans="2:6" x14ac:dyDescent="0.3">
      <c r="B44" t="s">
        <v>1601</v>
      </c>
    </row>
    <row r="45" spans="2:6" x14ac:dyDescent="0.3">
      <c r="B45" t="s">
        <v>1602</v>
      </c>
    </row>
    <row r="46" spans="2:6" x14ac:dyDescent="0.3">
      <c r="B46" t="s">
        <v>1603</v>
      </c>
    </row>
    <row r="47" spans="2:6" x14ac:dyDescent="0.3">
      <c r="B47" t="s">
        <v>1604</v>
      </c>
    </row>
    <row r="48" spans="2:6" x14ac:dyDescent="0.3">
      <c r="B48" t="s">
        <v>1605</v>
      </c>
    </row>
    <row r="49" spans="2:7" x14ac:dyDescent="0.3">
      <c r="B49" t="s">
        <v>1606</v>
      </c>
    </row>
    <row r="50" spans="2:7" x14ac:dyDescent="0.3">
      <c r="B50" t="s">
        <v>1607</v>
      </c>
    </row>
    <row r="51" spans="2:7" x14ac:dyDescent="0.3">
      <c r="B51" t="s">
        <v>1608</v>
      </c>
    </row>
    <row r="52" spans="2:7" x14ac:dyDescent="0.3">
      <c r="B52" t="s">
        <v>1609</v>
      </c>
    </row>
    <row r="55" spans="2:7" x14ac:dyDescent="0.3">
      <c r="B55" s="20" t="s">
        <v>1336</v>
      </c>
      <c r="C55" s="20" t="s">
        <v>1337</v>
      </c>
      <c r="D55" s="20" t="s">
        <v>1338</v>
      </c>
      <c r="E55" s="20" t="s">
        <v>1339</v>
      </c>
      <c r="F55" s="20" t="s">
        <v>1340</v>
      </c>
      <c r="G55" s="20" t="s">
        <v>1341</v>
      </c>
    </row>
    <row r="56" spans="2:7" ht="28.8" x14ac:dyDescent="0.3">
      <c r="B56" s="1" t="s">
        <v>1610</v>
      </c>
      <c r="C56" s="1" t="s">
        <v>1611</v>
      </c>
      <c r="D56" s="1" t="s">
        <v>1611</v>
      </c>
      <c r="E56" s="1" t="s">
        <v>1611</v>
      </c>
      <c r="F56" s="1" t="s">
        <v>1611</v>
      </c>
      <c r="G56" s="1" t="s">
        <v>1611</v>
      </c>
    </row>
    <row r="57" spans="2:7" ht="28.8" x14ac:dyDescent="0.3">
      <c r="B57" s="1" t="s">
        <v>1344</v>
      </c>
      <c r="C57" s="1" t="s">
        <v>1345</v>
      </c>
      <c r="D57" s="1" t="s">
        <v>1345</v>
      </c>
      <c r="E57" s="1" t="s">
        <v>1346</v>
      </c>
      <c r="F57" s="1" t="s">
        <v>1346</v>
      </c>
      <c r="G57" s="1" t="s">
        <v>1347</v>
      </c>
    </row>
    <row r="58" spans="2:7" ht="28.8" x14ac:dyDescent="0.3">
      <c r="B58" s="1" t="s">
        <v>1348</v>
      </c>
      <c r="C58" s="1" t="s">
        <v>1349</v>
      </c>
      <c r="D58" s="1" t="s">
        <v>1350</v>
      </c>
      <c r="E58" s="1" t="s">
        <v>1351</v>
      </c>
      <c r="F58" s="1" t="s">
        <v>1352</v>
      </c>
      <c r="G58" s="1" t="s">
        <v>1352</v>
      </c>
    </row>
    <row r="59" spans="2:7" ht="28.8" x14ac:dyDescent="0.3">
      <c r="B59" s="1" t="s">
        <v>1353</v>
      </c>
      <c r="C59" s="1" t="s">
        <v>1354</v>
      </c>
      <c r="D59" s="1" t="s">
        <v>1349</v>
      </c>
      <c r="E59" s="1" t="s">
        <v>1349</v>
      </c>
      <c r="F59" s="1" t="s">
        <v>1349</v>
      </c>
      <c r="G59" s="1" t="s">
        <v>1349</v>
      </c>
    </row>
    <row r="60" spans="2:7" x14ac:dyDescent="0.3">
      <c r="B60" s="1" t="s">
        <v>1299</v>
      </c>
      <c r="C60" s="1" t="s">
        <v>1612</v>
      </c>
      <c r="D60" s="1" t="s">
        <v>1613</v>
      </c>
      <c r="E60" s="1" t="s">
        <v>1614</v>
      </c>
      <c r="F60" s="1" t="s">
        <v>1615</v>
      </c>
      <c r="G60" s="1" t="s">
        <v>1616</v>
      </c>
    </row>
    <row r="61" spans="2:7" x14ac:dyDescent="0.3">
      <c r="B61" s="1" t="s">
        <v>1360</v>
      </c>
      <c r="C61" s="1" t="s">
        <v>1617</v>
      </c>
      <c r="D61" s="1" t="s">
        <v>1618</v>
      </c>
      <c r="E61" s="1" t="s">
        <v>1619</v>
      </c>
      <c r="F61" s="1" t="s">
        <v>1620</v>
      </c>
      <c r="G61" s="1" t="s">
        <v>1621</v>
      </c>
    </row>
    <row r="62" spans="2:7" x14ac:dyDescent="0.3">
      <c r="B62" s="1" t="s">
        <v>1372</v>
      </c>
      <c r="C62" s="1" t="s">
        <v>1617</v>
      </c>
      <c r="D62" s="1" t="s">
        <v>1622</v>
      </c>
      <c r="E62" s="1" t="s">
        <v>1623</v>
      </c>
      <c r="F62" s="1" t="s">
        <v>1624</v>
      </c>
      <c r="G62" s="1" t="s">
        <v>1625</v>
      </c>
    </row>
    <row r="65" spans="2:8" x14ac:dyDescent="0.3">
      <c r="B65" s="28" t="s">
        <v>1445</v>
      </c>
      <c r="C65" s="28" t="s">
        <v>1626</v>
      </c>
      <c r="D65" s="28" t="s">
        <v>1337</v>
      </c>
      <c r="E65" s="28" t="s">
        <v>1338</v>
      </c>
      <c r="F65" s="28" t="s">
        <v>1339</v>
      </c>
      <c r="G65" s="28" t="s">
        <v>1340</v>
      </c>
      <c r="H65" s="28" t="s">
        <v>1341</v>
      </c>
    </row>
    <row r="66" spans="2:8" x14ac:dyDescent="0.3">
      <c r="B66" s="27" t="s">
        <v>1627</v>
      </c>
      <c r="C66" s="27" t="s">
        <v>1628</v>
      </c>
      <c r="D66" s="27" t="s">
        <v>646</v>
      </c>
      <c r="E66" s="27" t="s">
        <v>646</v>
      </c>
      <c r="F66" s="27" t="s">
        <v>646</v>
      </c>
      <c r="G66" s="27" t="s">
        <v>646</v>
      </c>
      <c r="H66" s="27" t="s">
        <v>646</v>
      </c>
    </row>
    <row r="67" spans="2:8" x14ac:dyDescent="0.3">
      <c r="B67" s="27" t="s">
        <v>1629</v>
      </c>
      <c r="C67" s="27" t="s">
        <v>646</v>
      </c>
      <c r="D67" s="27" t="s">
        <v>1630</v>
      </c>
      <c r="E67" s="27" t="s">
        <v>1631</v>
      </c>
      <c r="F67" s="27" t="s">
        <v>1632</v>
      </c>
      <c r="G67" s="27" t="s">
        <v>1633</v>
      </c>
      <c r="H67" s="27" t="s">
        <v>1634</v>
      </c>
    </row>
    <row r="68" spans="2:8" x14ac:dyDescent="0.3">
      <c r="B68" s="27" t="s">
        <v>1635</v>
      </c>
      <c r="C68" s="27" t="s">
        <v>646</v>
      </c>
      <c r="D68" s="27" t="s">
        <v>1636</v>
      </c>
      <c r="E68" s="27" t="s">
        <v>1637</v>
      </c>
      <c r="F68" s="27" t="s">
        <v>1638</v>
      </c>
      <c r="G68" s="27" t="s">
        <v>1639</v>
      </c>
      <c r="H68" s="27" t="s">
        <v>1640</v>
      </c>
    </row>
    <row r="69" spans="2:8" x14ac:dyDescent="0.3">
      <c r="B69" s="27" t="s">
        <v>1641</v>
      </c>
      <c r="C69" s="27" t="s">
        <v>1628</v>
      </c>
      <c r="D69" s="27" t="s">
        <v>1642</v>
      </c>
      <c r="E69" s="27" t="s">
        <v>1643</v>
      </c>
      <c r="F69" s="27" t="s">
        <v>1644</v>
      </c>
      <c r="G69" s="27" t="s">
        <v>1645</v>
      </c>
      <c r="H69" s="27" t="s">
        <v>1646</v>
      </c>
    </row>
    <row r="70" spans="2:8" ht="28.8" x14ac:dyDescent="0.3">
      <c r="B70" s="27" t="s">
        <v>1647</v>
      </c>
      <c r="C70" s="27" t="s">
        <v>1628</v>
      </c>
      <c r="D70" s="27" t="s">
        <v>1648</v>
      </c>
      <c r="E70" s="27" t="s">
        <v>1649</v>
      </c>
      <c r="F70" s="27" t="s">
        <v>1650</v>
      </c>
      <c r="G70" s="27" t="s">
        <v>1651</v>
      </c>
      <c r="H70" s="27" t="s">
        <v>1652</v>
      </c>
    </row>
    <row r="73" spans="2:8" x14ac:dyDescent="0.3">
      <c r="B73" s="19" t="s">
        <v>1436</v>
      </c>
      <c r="C73" s="19" t="s">
        <v>637</v>
      </c>
      <c r="D73" s="19" t="s">
        <v>1337</v>
      </c>
      <c r="E73" s="19" t="s">
        <v>1338</v>
      </c>
      <c r="F73" s="19" t="s">
        <v>1339</v>
      </c>
      <c r="G73" s="19" t="s">
        <v>1340</v>
      </c>
      <c r="H73" s="19" t="s">
        <v>1341</v>
      </c>
    </row>
    <row r="74" spans="2:8" x14ac:dyDescent="0.3">
      <c r="B74" t="s">
        <v>1653</v>
      </c>
      <c r="C74" t="s">
        <v>1654</v>
      </c>
      <c r="D74">
        <v>3</v>
      </c>
      <c r="E74">
        <v>6</v>
      </c>
      <c r="F74">
        <v>10</v>
      </c>
      <c r="G74">
        <v>16</v>
      </c>
      <c r="H74">
        <v>20</v>
      </c>
    </row>
    <row r="75" spans="2:8" x14ac:dyDescent="0.3">
      <c r="B75" t="s">
        <v>1655</v>
      </c>
      <c r="C75" t="s">
        <v>1656</v>
      </c>
      <c r="D75">
        <v>3</v>
      </c>
      <c r="E75">
        <v>8</v>
      </c>
      <c r="F75">
        <v>15</v>
      </c>
      <c r="G75">
        <v>20</v>
      </c>
      <c r="H75">
        <v>28</v>
      </c>
    </row>
    <row r="76" spans="2:8" x14ac:dyDescent="0.3">
      <c r="B76" t="s">
        <v>1657</v>
      </c>
      <c r="C76" t="s">
        <v>1658</v>
      </c>
      <c r="D76">
        <v>1</v>
      </c>
      <c r="E76">
        <v>3</v>
      </c>
      <c r="F76">
        <v>5</v>
      </c>
      <c r="G76">
        <v>8</v>
      </c>
      <c r="H76">
        <v>10</v>
      </c>
    </row>
    <row r="77" spans="2:8" x14ac:dyDescent="0.3">
      <c r="B77" t="s">
        <v>1456</v>
      </c>
      <c r="D77">
        <v>7</v>
      </c>
      <c r="E77">
        <v>17</v>
      </c>
      <c r="F77">
        <v>30</v>
      </c>
      <c r="G77">
        <v>44</v>
      </c>
      <c r="H77">
        <v>58</v>
      </c>
    </row>
    <row r="78" spans="2:8" x14ac:dyDescent="0.3">
      <c r="B78" t="s">
        <v>1659</v>
      </c>
      <c r="D78" t="s">
        <v>1660</v>
      </c>
      <c r="E78" t="s">
        <v>1661</v>
      </c>
      <c r="F78" t="s">
        <v>1662</v>
      </c>
      <c r="G78" t="s">
        <v>1351</v>
      </c>
      <c r="H78" t="s">
        <v>1554</v>
      </c>
    </row>
    <row r="79" spans="2:8" x14ac:dyDescent="0.3">
      <c r="B79" t="s">
        <v>1663</v>
      </c>
      <c r="D79" t="s">
        <v>1664</v>
      </c>
      <c r="E79" t="s">
        <v>1665</v>
      </c>
      <c r="F79" t="s">
        <v>1666</v>
      </c>
      <c r="G79" t="s">
        <v>1667</v>
      </c>
      <c r="H79" t="s">
        <v>1668</v>
      </c>
    </row>
    <row r="80" spans="2:8" x14ac:dyDescent="0.3">
      <c r="B80" t="s">
        <v>1669</v>
      </c>
      <c r="D80" t="s">
        <v>1658</v>
      </c>
      <c r="E80" t="s">
        <v>1670</v>
      </c>
      <c r="F80" t="s">
        <v>1671</v>
      </c>
      <c r="G80" t="s">
        <v>1672</v>
      </c>
      <c r="H80" t="s">
        <v>1667</v>
      </c>
    </row>
    <row r="81" spans="2:8" x14ac:dyDescent="0.3">
      <c r="B81" t="s">
        <v>1673</v>
      </c>
      <c r="D81" t="s">
        <v>1674</v>
      </c>
      <c r="E81" t="s">
        <v>1675</v>
      </c>
      <c r="F81" t="s">
        <v>1676</v>
      </c>
      <c r="G81" t="s">
        <v>1677</v>
      </c>
      <c r="H81" t="s">
        <v>1678</v>
      </c>
    </row>
    <row r="82" spans="2:8" x14ac:dyDescent="0.3">
      <c r="B82" t="s">
        <v>1679</v>
      </c>
      <c r="D82" t="s">
        <v>1630</v>
      </c>
      <c r="E82" t="s">
        <v>1631</v>
      </c>
      <c r="F82" t="s">
        <v>1632</v>
      </c>
      <c r="G82" t="s">
        <v>1633</v>
      </c>
      <c r="H82" t="s">
        <v>1634</v>
      </c>
    </row>
    <row r="86" spans="2:8" x14ac:dyDescent="0.3">
      <c r="C86" t="s">
        <v>1685</v>
      </c>
      <c r="D86">
        <v>20570</v>
      </c>
    </row>
    <row r="87" spans="2:8" x14ac:dyDescent="0.3">
      <c r="C87" t="s">
        <v>1680</v>
      </c>
      <c r="D87" t="e">
        <f>+D86+D68</f>
        <v>#VALUE!</v>
      </c>
    </row>
    <row r="88" spans="2:8" x14ac:dyDescent="0.3">
      <c r="C88" t="s">
        <v>1681</v>
      </c>
    </row>
    <row r="89" spans="2:8" x14ac:dyDescent="0.3">
      <c r="C89" t="s">
        <v>1682</v>
      </c>
    </row>
    <row r="90" spans="2:8" x14ac:dyDescent="0.3">
      <c r="C90" t="s">
        <v>1683</v>
      </c>
    </row>
    <row r="91" spans="2:8" x14ac:dyDescent="0.3">
      <c r="C91" t="s">
        <v>1684</v>
      </c>
    </row>
  </sheetData>
  <phoneticPr fontId="4" type="noConversion"/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BC469-4D93-40AE-9AB0-6C18BC6390FC}">
  <dimension ref="B2:X21"/>
  <sheetViews>
    <sheetView zoomScale="125" workbookViewId="0">
      <selection activeCell="A23" sqref="A23"/>
    </sheetView>
  </sheetViews>
  <sheetFormatPr baseColWidth="10" defaultRowHeight="18" x14ac:dyDescent="0.35"/>
  <cols>
    <col min="1" max="1" width="11.5546875" style="64"/>
    <col min="2" max="2" width="0.33203125" style="64" customWidth="1"/>
    <col min="3" max="3" width="1.77734375" style="64" customWidth="1"/>
    <col min="4" max="4" width="20.77734375" style="65" customWidth="1"/>
    <col min="5" max="5" width="1.77734375" style="64" customWidth="1"/>
    <col min="6" max="6" width="0.33203125" style="64" customWidth="1"/>
    <col min="7" max="7" width="3.77734375" style="64" customWidth="1"/>
    <col min="8" max="8" width="0.33203125" style="64" customWidth="1"/>
    <col min="9" max="9" width="1.77734375" style="64" customWidth="1"/>
    <col min="10" max="10" width="20.77734375" style="64" customWidth="1"/>
    <col min="11" max="11" width="1.77734375" style="64" customWidth="1"/>
    <col min="12" max="12" width="0.33203125" style="64" customWidth="1"/>
    <col min="13" max="13" width="3.77734375" style="64" customWidth="1"/>
    <col min="14" max="14" width="0.33203125" style="64" customWidth="1"/>
    <col min="15" max="15" width="1.77734375" style="64" customWidth="1"/>
    <col min="16" max="16" width="20.77734375" style="64" customWidth="1"/>
    <col min="17" max="17" width="1.77734375" style="64" customWidth="1"/>
    <col min="18" max="18" width="0.33203125" style="64" customWidth="1"/>
    <col min="19" max="19" width="3.77734375" style="64" customWidth="1"/>
    <col min="20" max="20" width="0.33203125" style="64" customWidth="1"/>
    <col min="21" max="21" width="1.77734375" style="64" customWidth="1"/>
    <col min="22" max="22" width="20.77734375" style="64" customWidth="1"/>
    <col min="23" max="23" width="1.77734375" style="64" customWidth="1"/>
    <col min="24" max="24" width="0.33203125" style="64" customWidth="1"/>
    <col min="25" max="16384" width="11.5546875" style="64"/>
  </cols>
  <sheetData>
    <row r="2" spans="2:24" ht="18.600000000000001" thickBot="1" x14ac:dyDescent="0.4">
      <c r="J2" s="64" t="s">
        <v>662</v>
      </c>
      <c r="P2" s="64" t="s">
        <v>1441</v>
      </c>
      <c r="V2" s="64" t="s">
        <v>1442</v>
      </c>
    </row>
    <row r="3" spans="2:24" ht="1.95" customHeight="1" x14ac:dyDescent="0.35">
      <c r="B3" s="113"/>
      <c r="C3" s="109"/>
      <c r="D3" s="110"/>
      <c r="E3" s="109"/>
      <c r="F3" s="116"/>
      <c r="H3" s="113"/>
      <c r="I3" s="109"/>
      <c r="J3" s="109"/>
      <c r="K3" s="109"/>
      <c r="L3" s="116"/>
      <c r="N3" s="113"/>
      <c r="O3" s="109"/>
      <c r="P3" s="109"/>
      <c r="Q3" s="109"/>
      <c r="R3" s="116"/>
      <c r="T3" s="113"/>
      <c r="U3" s="109"/>
      <c r="V3" s="109"/>
      <c r="W3" s="109"/>
      <c r="X3" s="116"/>
    </row>
    <row r="4" spans="2:24" ht="6" customHeight="1" x14ac:dyDescent="0.35">
      <c r="B4" s="114"/>
      <c r="C4" s="75"/>
      <c r="D4" s="76"/>
      <c r="E4" s="77"/>
      <c r="F4" s="117"/>
      <c r="H4" s="114"/>
      <c r="I4" s="67"/>
      <c r="J4" s="68"/>
      <c r="K4" s="69"/>
      <c r="L4" s="117"/>
      <c r="N4" s="114"/>
      <c r="O4" s="99"/>
      <c r="P4" s="100"/>
      <c r="Q4" s="101"/>
      <c r="R4" s="117"/>
      <c r="T4" s="114"/>
      <c r="U4" s="86"/>
      <c r="V4" s="87"/>
      <c r="W4" s="88"/>
      <c r="X4" s="117"/>
    </row>
    <row r="5" spans="2:24" x14ac:dyDescent="0.35">
      <c r="B5" s="114"/>
      <c r="C5" s="78"/>
      <c r="D5" s="84" t="s">
        <v>1686</v>
      </c>
      <c r="E5" s="79"/>
      <c r="F5" s="117"/>
      <c r="H5" s="114"/>
      <c r="I5" s="70"/>
      <c r="J5" s="90" t="s">
        <v>662</v>
      </c>
      <c r="K5" s="71"/>
      <c r="L5" s="117"/>
      <c r="N5" s="114"/>
      <c r="O5" s="102"/>
      <c r="P5" s="90" t="s">
        <v>1441</v>
      </c>
      <c r="Q5" s="103"/>
      <c r="R5" s="117"/>
      <c r="T5" s="114"/>
      <c r="U5" s="89"/>
      <c r="V5" s="97" t="s">
        <v>1442</v>
      </c>
      <c r="W5" s="91"/>
      <c r="X5" s="117"/>
    </row>
    <row r="6" spans="2:24" ht="6" customHeight="1" x14ac:dyDescent="0.35">
      <c r="B6" s="114"/>
      <c r="C6" s="78"/>
      <c r="D6" s="85"/>
      <c r="E6" s="79"/>
      <c r="F6" s="117"/>
      <c r="H6" s="114"/>
      <c r="I6" s="70"/>
      <c r="J6" s="98"/>
      <c r="K6" s="71"/>
      <c r="L6" s="117"/>
      <c r="N6" s="114"/>
      <c r="O6" s="102"/>
      <c r="P6" s="104"/>
      <c r="Q6" s="103"/>
      <c r="R6" s="117"/>
      <c r="T6" s="114"/>
      <c r="U6" s="89"/>
      <c r="V6" s="94"/>
      <c r="W6" s="91"/>
      <c r="X6" s="117"/>
    </row>
    <row r="7" spans="2:24" x14ac:dyDescent="0.35">
      <c r="B7" s="114"/>
      <c r="C7" s="78"/>
      <c r="D7" s="80" t="s">
        <v>1400</v>
      </c>
      <c r="E7" s="79"/>
      <c r="F7" s="117"/>
      <c r="H7" s="114"/>
      <c r="I7" s="70"/>
      <c r="J7" s="66" t="s">
        <v>1654</v>
      </c>
      <c r="K7" s="71"/>
      <c r="L7" s="117"/>
      <c r="N7" s="114"/>
      <c r="O7" s="102"/>
      <c r="P7" s="105" t="s">
        <v>1656</v>
      </c>
      <c r="Q7" s="103"/>
      <c r="R7" s="117"/>
      <c r="T7" s="114"/>
      <c r="U7" s="89"/>
      <c r="V7" s="92" t="s">
        <v>1658</v>
      </c>
      <c r="W7" s="91"/>
      <c r="X7" s="117"/>
    </row>
    <row r="8" spans="2:24" ht="6" customHeight="1" x14ac:dyDescent="0.35">
      <c r="B8" s="114"/>
      <c r="C8" s="78"/>
      <c r="D8" s="81"/>
      <c r="E8" s="79"/>
      <c r="F8" s="117"/>
      <c r="H8" s="114"/>
      <c r="I8" s="70"/>
      <c r="J8" s="73"/>
      <c r="K8" s="71"/>
      <c r="L8" s="117"/>
      <c r="N8" s="114"/>
      <c r="O8" s="102"/>
      <c r="P8" s="106"/>
      <c r="Q8" s="103"/>
      <c r="R8" s="117"/>
      <c r="T8" s="114"/>
      <c r="U8" s="89"/>
      <c r="V8" s="93"/>
      <c r="W8" s="91"/>
      <c r="X8" s="117"/>
    </row>
    <row r="9" spans="2:24" ht="6" customHeight="1" x14ac:dyDescent="0.35">
      <c r="B9" s="114"/>
      <c r="C9" s="78"/>
      <c r="D9" s="85"/>
      <c r="E9" s="79"/>
      <c r="F9" s="117"/>
      <c r="H9" s="114"/>
      <c r="I9" s="70"/>
      <c r="J9" s="98"/>
      <c r="K9" s="71"/>
      <c r="L9" s="117"/>
      <c r="N9" s="114"/>
      <c r="O9" s="102"/>
      <c r="P9" s="104"/>
      <c r="Q9" s="103"/>
      <c r="R9" s="117"/>
      <c r="T9" s="114"/>
      <c r="U9" s="89"/>
      <c r="V9" s="94"/>
      <c r="W9" s="91"/>
      <c r="X9" s="117"/>
    </row>
    <row r="10" spans="2:24" x14ac:dyDescent="0.35">
      <c r="B10" s="114"/>
      <c r="C10" s="78"/>
      <c r="D10" s="85" t="s">
        <v>1687</v>
      </c>
      <c r="E10" s="79"/>
      <c r="F10" s="117"/>
      <c r="H10" s="114"/>
      <c r="I10" s="70"/>
      <c r="J10" s="98" t="s">
        <v>1690</v>
      </c>
      <c r="K10" s="71"/>
      <c r="L10" s="117"/>
      <c r="N10" s="114"/>
      <c r="O10" s="102"/>
      <c r="P10" s="104" t="s">
        <v>1692</v>
      </c>
      <c r="Q10" s="103"/>
      <c r="R10" s="117"/>
      <c r="T10" s="114"/>
      <c r="U10" s="89"/>
      <c r="V10" s="94" t="s">
        <v>1694</v>
      </c>
      <c r="W10" s="91"/>
      <c r="X10" s="117"/>
    </row>
    <row r="11" spans="2:24" ht="6" customHeight="1" x14ac:dyDescent="0.35">
      <c r="B11" s="114"/>
      <c r="C11" s="78"/>
      <c r="D11" s="85"/>
      <c r="E11" s="79"/>
      <c r="F11" s="117"/>
      <c r="H11" s="114"/>
      <c r="I11" s="70"/>
      <c r="J11" s="98"/>
      <c r="K11" s="71"/>
      <c r="L11" s="117"/>
      <c r="N11" s="114"/>
      <c r="O11" s="102"/>
      <c r="P11" s="104"/>
      <c r="Q11" s="103"/>
      <c r="R11" s="117"/>
      <c r="T11" s="114"/>
      <c r="U11" s="89"/>
      <c r="V11" s="94"/>
      <c r="W11" s="91"/>
      <c r="X11" s="117"/>
    </row>
    <row r="12" spans="2:24" x14ac:dyDescent="0.35">
      <c r="B12" s="114"/>
      <c r="C12" s="78"/>
      <c r="D12" s="85" t="s">
        <v>1688</v>
      </c>
      <c r="E12" s="79"/>
      <c r="F12" s="117"/>
      <c r="H12" s="114"/>
      <c r="I12" s="70"/>
      <c r="J12" s="98" t="s">
        <v>1691</v>
      </c>
      <c r="K12" s="71"/>
      <c r="L12" s="117"/>
      <c r="N12" s="114"/>
      <c r="O12" s="102"/>
      <c r="P12" s="104" t="s">
        <v>1693</v>
      </c>
      <c r="Q12" s="103"/>
      <c r="R12" s="117"/>
      <c r="T12" s="114"/>
      <c r="U12" s="89"/>
      <c r="V12" s="94" t="s">
        <v>1695</v>
      </c>
      <c r="W12" s="91"/>
      <c r="X12" s="117"/>
    </row>
    <row r="13" spans="2:24" ht="6" customHeight="1" x14ac:dyDescent="0.35">
      <c r="B13" s="114"/>
      <c r="C13" s="78"/>
      <c r="D13" s="85"/>
      <c r="E13" s="79"/>
      <c r="F13" s="117"/>
      <c r="H13" s="114"/>
      <c r="I13" s="70"/>
      <c r="J13" s="98"/>
      <c r="K13" s="71"/>
      <c r="L13" s="117"/>
      <c r="N13" s="114"/>
      <c r="O13" s="102"/>
      <c r="P13" s="104"/>
      <c r="Q13" s="103"/>
      <c r="R13" s="117"/>
      <c r="T13" s="114"/>
      <c r="U13" s="89"/>
      <c r="V13" s="94"/>
      <c r="W13" s="91"/>
      <c r="X13" s="117"/>
    </row>
    <row r="14" spans="2:24" ht="18" customHeight="1" x14ac:dyDescent="0.35">
      <c r="B14" s="114"/>
      <c r="C14" s="78"/>
      <c r="D14" s="85"/>
      <c r="E14" s="79"/>
      <c r="F14" s="117"/>
      <c r="H14" s="114"/>
      <c r="I14" s="70"/>
      <c r="J14" s="98" t="s">
        <v>1689</v>
      </c>
      <c r="K14" s="71"/>
      <c r="L14" s="117"/>
      <c r="N14" s="114"/>
      <c r="O14" s="102"/>
      <c r="P14" s="104" t="s">
        <v>1689</v>
      </c>
      <c r="Q14" s="103"/>
      <c r="R14" s="117"/>
      <c r="T14" s="114"/>
      <c r="U14" s="89"/>
      <c r="V14" s="122" t="s">
        <v>1698</v>
      </c>
      <c r="W14" s="91"/>
      <c r="X14" s="117"/>
    </row>
    <row r="15" spans="2:24" ht="6" customHeight="1" x14ac:dyDescent="0.35">
      <c r="B15" s="114"/>
      <c r="C15" s="78"/>
      <c r="D15" s="85"/>
      <c r="E15" s="79"/>
      <c r="F15" s="117"/>
      <c r="H15" s="114"/>
      <c r="I15" s="70"/>
      <c r="J15" s="98"/>
      <c r="K15" s="71"/>
      <c r="L15" s="117"/>
      <c r="N15" s="114"/>
      <c r="O15" s="102"/>
      <c r="P15" s="104"/>
      <c r="Q15" s="103"/>
      <c r="R15" s="117"/>
      <c r="T15" s="114"/>
      <c r="U15" s="89"/>
      <c r="V15" s="122"/>
      <c r="W15" s="91"/>
      <c r="X15" s="117"/>
    </row>
    <row r="16" spans="2:24" x14ac:dyDescent="0.35">
      <c r="B16" s="114"/>
      <c r="C16" s="78"/>
      <c r="D16" s="85"/>
      <c r="E16" s="79"/>
      <c r="F16" s="117"/>
      <c r="H16" s="114"/>
      <c r="I16" s="70"/>
      <c r="J16" s="98"/>
      <c r="K16" s="71"/>
      <c r="L16" s="117"/>
      <c r="N16" s="114"/>
      <c r="O16" s="102"/>
      <c r="P16" s="104" t="s">
        <v>1696</v>
      </c>
      <c r="Q16" s="103"/>
      <c r="R16" s="117"/>
      <c r="T16" s="114"/>
      <c r="U16" s="89"/>
      <c r="V16" s="122"/>
      <c r="W16" s="91"/>
      <c r="X16" s="117"/>
    </row>
    <row r="17" spans="2:24" ht="6" customHeight="1" x14ac:dyDescent="0.35">
      <c r="B17" s="114"/>
      <c r="C17" s="78"/>
      <c r="D17" s="85"/>
      <c r="E17" s="79"/>
      <c r="F17" s="117"/>
      <c r="H17" s="114"/>
      <c r="I17" s="70"/>
      <c r="J17" s="98"/>
      <c r="K17" s="71"/>
      <c r="L17" s="117"/>
      <c r="N17" s="114"/>
      <c r="O17" s="102"/>
      <c r="P17" s="104"/>
      <c r="Q17" s="103"/>
      <c r="R17" s="117"/>
      <c r="T17" s="114"/>
      <c r="U17" s="89"/>
      <c r="V17" s="94"/>
      <c r="W17" s="91"/>
      <c r="X17" s="117"/>
    </row>
    <row r="18" spans="2:24" ht="18" customHeight="1" x14ac:dyDescent="0.35">
      <c r="B18" s="114"/>
      <c r="C18" s="78"/>
      <c r="D18" s="85"/>
      <c r="E18" s="79"/>
      <c r="F18" s="117"/>
      <c r="H18" s="114"/>
      <c r="I18" s="70"/>
      <c r="J18" s="98"/>
      <c r="K18" s="71"/>
      <c r="L18" s="117"/>
      <c r="N18" s="114"/>
      <c r="O18" s="102"/>
      <c r="P18" s="104" t="s">
        <v>1697</v>
      </c>
      <c r="Q18" s="103"/>
      <c r="R18" s="117"/>
      <c r="T18" s="114"/>
      <c r="U18" s="89"/>
      <c r="V18" s="122" t="s">
        <v>1699</v>
      </c>
      <c r="W18" s="91"/>
      <c r="X18" s="117"/>
    </row>
    <row r="19" spans="2:24" ht="6" customHeight="1" x14ac:dyDescent="0.35">
      <c r="B19" s="114"/>
      <c r="C19" s="78"/>
      <c r="D19" s="85"/>
      <c r="E19" s="79"/>
      <c r="F19" s="117"/>
      <c r="H19" s="114"/>
      <c r="I19" s="70"/>
      <c r="J19" s="98"/>
      <c r="K19" s="71"/>
      <c r="L19" s="117"/>
      <c r="N19" s="114"/>
      <c r="O19" s="102"/>
      <c r="P19" s="104"/>
      <c r="Q19" s="103"/>
      <c r="R19" s="117"/>
      <c r="T19" s="114"/>
      <c r="U19" s="89"/>
      <c r="V19" s="122"/>
      <c r="W19" s="91"/>
      <c r="X19" s="117"/>
    </row>
    <row r="20" spans="2:24" x14ac:dyDescent="0.35">
      <c r="B20" s="114"/>
      <c r="C20" s="82"/>
      <c r="D20" s="119"/>
      <c r="E20" s="83"/>
      <c r="F20" s="117"/>
      <c r="H20" s="114"/>
      <c r="I20" s="72"/>
      <c r="J20" s="120"/>
      <c r="K20" s="74"/>
      <c r="L20" s="117"/>
      <c r="N20" s="114"/>
      <c r="O20" s="107"/>
      <c r="P20" s="121"/>
      <c r="Q20" s="108"/>
      <c r="R20" s="117"/>
      <c r="T20" s="114"/>
      <c r="U20" s="95"/>
      <c r="V20" s="123"/>
      <c r="W20" s="96"/>
      <c r="X20" s="117"/>
    </row>
    <row r="21" spans="2:24" ht="1.95" customHeight="1" thickBot="1" x14ac:dyDescent="0.4">
      <c r="B21" s="115"/>
      <c r="C21" s="111"/>
      <c r="D21" s="112"/>
      <c r="E21" s="111"/>
      <c r="F21" s="118"/>
      <c r="H21" s="115"/>
      <c r="I21" s="111"/>
      <c r="J21" s="111"/>
      <c r="K21" s="111"/>
      <c r="L21" s="118"/>
      <c r="N21" s="115"/>
      <c r="O21" s="111"/>
      <c r="P21" s="111"/>
      <c r="Q21" s="111"/>
      <c r="R21" s="118"/>
      <c r="T21" s="115"/>
      <c r="U21" s="111"/>
      <c r="V21" s="111"/>
      <c r="W21" s="111"/>
      <c r="X21" s="118"/>
    </row>
  </sheetData>
  <mergeCells count="2">
    <mergeCell ref="V14:V16"/>
    <mergeCell ref="V18:V20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B3B99-B1CD-4BE7-A307-D9521D05B2EF}">
  <dimension ref="B3:H68"/>
  <sheetViews>
    <sheetView tabSelected="1" topLeftCell="G76" workbookViewId="0">
      <selection activeCell="H76" sqref="H76"/>
    </sheetView>
  </sheetViews>
  <sheetFormatPr baseColWidth="10" defaultRowHeight="14.4" x14ac:dyDescent="0.3"/>
  <cols>
    <col min="2" max="2" width="19.6640625" bestFit="1" customWidth="1"/>
  </cols>
  <sheetData>
    <row r="3" spans="2:3" x14ac:dyDescent="0.3">
      <c r="B3" t="s">
        <v>1700</v>
      </c>
      <c r="C3">
        <v>20570</v>
      </c>
    </row>
    <row r="4" spans="2:3" x14ac:dyDescent="0.3">
      <c r="B4" t="s">
        <v>1701</v>
      </c>
      <c r="C4">
        <v>7800</v>
      </c>
    </row>
    <row r="5" spans="2:3" x14ac:dyDescent="0.3">
      <c r="B5" t="s">
        <v>1702</v>
      </c>
      <c r="C5">
        <f>9600-C4</f>
        <v>1800</v>
      </c>
    </row>
    <row r="44" spans="2:8" x14ac:dyDescent="0.3">
      <c r="B44" s="28" t="s">
        <v>1445</v>
      </c>
      <c r="C44" s="28" t="s">
        <v>1626</v>
      </c>
      <c r="D44" s="28" t="s">
        <v>1337</v>
      </c>
      <c r="E44" s="28" t="s">
        <v>1338</v>
      </c>
      <c r="F44" s="28" t="s">
        <v>1339</v>
      </c>
      <c r="G44" s="28" t="s">
        <v>1340</v>
      </c>
      <c r="H44" s="28" t="s">
        <v>1341</v>
      </c>
    </row>
    <row r="45" spans="2:8" ht="28.8" x14ac:dyDescent="0.3">
      <c r="B45" s="27" t="s">
        <v>1627</v>
      </c>
      <c r="C45" s="27" t="s">
        <v>1628</v>
      </c>
      <c r="D45" s="27" t="s">
        <v>646</v>
      </c>
      <c r="E45" s="27" t="s">
        <v>646</v>
      </c>
      <c r="F45" s="27" t="s">
        <v>646</v>
      </c>
      <c r="G45" s="27" t="s">
        <v>646</v>
      </c>
      <c r="H45" s="27" t="s">
        <v>646</v>
      </c>
    </row>
    <row r="46" spans="2:8" x14ac:dyDescent="0.3">
      <c r="B46" s="27" t="s">
        <v>1629</v>
      </c>
      <c r="C46" s="27" t="s">
        <v>646</v>
      </c>
      <c r="D46" s="27" t="s">
        <v>1630</v>
      </c>
      <c r="E46" s="27" t="s">
        <v>1631</v>
      </c>
      <c r="F46" s="27" t="s">
        <v>1632</v>
      </c>
      <c r="G46" s="27" t="s">
        <v>1633</v>
      </c>
      <c r="H46" s="27" t="s">
        <v>1634</v>
      </c>
    </row>
    <row r="47" spans="2:8" ht="28.8" x14ac:dyDescent="0.3">
      <c r="B47" s="27" t="s">
        <v>1635</v>
      </c>
      <c r="C47" s="27" t="s">
        <v>646</v>
      </c>
      <c r="D47" s="27" t="s">
        <v>1636</v>
      </c>
      <c r="E47" s="27" t="s">
        <v>1637</v>
      </c>
      <c r="F47" s="27" t="s">
        <v>1638</v>
      </c>
      <c r="G47" s="27" t="s">
        <v>1639</v>
      </c>
      <c r="H47" s="27" t="s">
        <v>1640</v>
      </c>
    </row>
    <row r="48" spans="2:8" x14ac:dyDescent="0.3">
      <c r="B48" s="27" t="s">
        <v>1641</v>
      </c>
      <c r="C48" s="27" t="s">
        <v>1628</v>
      </c>
      <c r="D48" s="27" t="s">
        <v>1642</v>
      </c>
      <c r="E48" s="27" t="s">
        <v>1643</v>
      </c>
      <c r="F48" s="27" t="s">
        <v>1644</v>
      </c>
      <c r="G48" s="27" t="s">
        <v>1645</v>
      </c>
      <c r="H48" s="27" t="s">
        <v>1646</v>
      </c>
    </row>
    <row r="49" spans="2:8" ht="28.8" x14ac:dyDescent="0.3">
      <c r="B49" s="27" t="s">
        <v>1647</v>
      </c>
      <c r="C49" s="27" t="s">
        <v>1628</v>
      </c>
      <c r="D49" s="27" t="s">
        <v>1648</v>
      </c>
      <c r="E49" s="27" t="s">
        <v>1649</v>
      </c>
      <c r="F49" s="27" t="s">
        <v>1650</v>
      </c>
      <c r="G49" s="27" t="s">
        <v>1651</v>
      </c>
      <c r="H49" s="27" t="s">
        <v>1652</v>
      </c>
    </row>
    <row r="53" spans="2:8" x14ac:dyDescent="0.3">
      <c r="B53" t="s">
        <v>1703</v>
      </c>
      <c r="C53" t="s">
        <v>1706</v>
      </c>
      <c r="D53" t="s">
        <v>1707</v>
      </c>
    </row>
    <row r="54" spans="2:8" x14ac:dyDescent="0.3">
      <c r="B54" t="s">
        <v>1626</v>
      </c>
      <c r="C54">
        <v>20.57</v>
      </c>
      <c r="D54">
        <v>0</v>
      </c>
    </row>
    <row r="55" spans="2:8" x14ac:dyDescent="0.3">
      <c r="B55" t="s">
        <v>1337</v>
      </c>
      <c r="C55">
        <v>30.172999999999998</v>
      </c>
      <c r="D55">
        <v>7.86</v>
      </c>
    </row>
    <row r="56" spans="2:8" x14ac:dyDescent="0.3">
      <c r="B56" t="s">
        <v>1338</v>
      </c>
      <c r="C56">
        <v>39.886000000000003</v>
      </c>
      <c r="D56">
        <v>28.571999999999999</v>
      </c>
    </row>
    <row r="57" spans="2:8" x14ac:dyDescent="0.3">
      <c r="B57" t="s">
        <v>1339</v>
      </c>
      <c r="C57">
        <v>49.83</v>
      </c>
      <c r="D57">
        <v>65.171999999999997</v>
      </c>
    </row>
    <row r="58" spans="2:8" x14ac:dyDescent="0.3">
      <c r="B58" t="s">
        <v>1340</v>
      </c>
      <c r="C58">
        <v>60.302</v>
      </c>
      <c r="D58">
        <v>118.74</v>
      </c>
    </row>
    <row r="59" spans="2:8" x14ac:dyDescent="0.3">
      <c r="B59" t="s">
        <v>1341</v>
      </c>
      <c r="C59">
        <v>70.971999999999994</v>
      </c>
      <c r="D59">
        <v>189.44399999999999</v>
      </c>
    </row>
    <row r="62" spans="2:8" x14ac:dyDescent="0.3">
      <c r="C62" t="s">
        <v>1704</v>
      </c>
      <c r="D62" t="s">
        <v>1705</v>
      </c>
      <c r="F62" t="s">
        <v>1706</v>
      </c>
      <c r="G62" t="s">
        <v>1707</v>
      </c>
    </row>
    <row r="63" spans="2:8" x14ac:dyDescent="0.3">
      <c r="C63">
        <v>20570</v>
      </c>
      <c r="D63">
        <v>0</v>
      </c>
      <c r="F63">
        <v>20570</v>
      </c>
      <c r="G63">
        <v>0</v>
      </c>
    </row>
    <row r="64" spans="2:8" x14ac:dyDescent="0.3">
      <c r="C64">
        <v>9603</v>
      </c>
      <c r="D64">
        <v>7860</v>
      </c>
      <c r="F64">
        <v>30173</v>
      </c>
      <c r="G64">
        <v>7860</v>
      </c>
    </row>
    <row r="65" spans="3:7" x14ac:dyDescent="0.3">
      <c r="C65">
        <v>9713</v>
      </c>
      <c r="D65">
        <v>20712</v>
      </c>
      <c r="F65">
        <v>39886</v>
      </c>
      <c r="G65">
        <v>28572</v>
      </c>
    </row>
    <row r="66" spans="3:7" x14ac:dyDescent="0.3">
      <c r="C66">
        <v>9944</v>
      </c>
      <c r="D66">
        <v>36600</v>
      </c>
      <c r="F66">
        <v>49830</v>
      </c>
      <c r="G66">
        <v>65172</v>
      </c>
    </row>
    <row r="67" spans="3:7" x14ac:dyDescent="0.3">
      <c r="C67">
        <v>10472</v>
      </c>
      <c r="D67">
        <v>53568</v>
      </c>
      <c r="F67">
        <v>60302</v>
      </c>
      <c r="G67">
        <v>118740</v>
      </c>
    </row>
    <row r="68" spans="3:7" x14ac:dyDescent="0.3">
      <c r="C68">
        <v>10670</v>
      </c>
      <c r="D68">
        <v>70704</v>
      </c>
      <c r="F68">
        <v>70972</v>
      </c>
      <c r="G68">
        <v>189444</v>
      </c>
    </row>
  </sheetData>
  <phoneticPr fontId="4" type="noConversion"/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Hoja1</vt:lpstr>
      <vt:lpstr>Hoja2</vt:lpstr>
      <vt:lpstr>Hoja3</vt:lpstr>
      <vt:lpstr>Hoja4</vt:lpstr>
      <vt:lpstr>Hoja5</vt:lpstr>
      <vt:lpstr>Hoja6</vt:lpstr>
      <vt:lpstr>Hoja7</vt:lpstr>
      <vt:lpstr>Hoja8</vt:lpstr>
      <vt:lpstr>Hoja9</vt:lpstr>
      <vt:lpstr>Hoja10</vt:lpstr>
      <vt:lpstr>Hoja11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L</dc:creator>
  <cp:lastModifiedBy>William Antonio L?pez Morales</cp:lastModifiedBy>
  <dcterms:created xsi:type="dcterms:W3CDTF">2015-06-05T18:19:34Z</dcterms:created>
  <dcterms:modified xsi:type="dcterms:W3CDTF">2026-06-02T05:49:15Z</dcterms:modified>
</cp:coreProperties>
</file>